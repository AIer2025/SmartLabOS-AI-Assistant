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2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drawings/drawing3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7932" codeName="{00000000-0000-0000-0000-000000000000}"/>
  <workbookPr codeName="ThisWorkbook"/>
  <mc:AlternateContent xmlns:mc="http://schemas.openxmlformats.org/markup-compatibility/2006">
    <mc:Choice Requires="x15">
      <x15ac:absPath xmlns:x15ac="http://schemas.microsoft.com/office/spreadsheetml/2010/11/ac" url="C:\TestClaude\SmartLabOS-AI-Assistant\卡片生成\小米\"/>
    </mc:Choice>
  </mc:AlternateContent>
  <xr:revisionPtr revIDLastSave="0" documentId="13_ncr:1_{4AE775E9-A29D-4423-BB35-2331983D9D3F}" xr6:coauthVersionLast="47" xr6:coauthVersionMax="47" xr10:uidLastSave="{00000000-0000-0000-0000-000000000000}"/>
  <bookViews>
    <workbookView xWindow="2640" yWindow="2640" windowWidth="19749" windowHeight="11511" activeTab="2" xr2:uid="{00000000-000D-0000-FFFF-FFFF00000000}"/>
  </bookViews>
  <sheets>
    <sheet name="02-卡片输入-平台1200" sheetId="2" r:id="rId1"/>
    <sheet name="02-卡片输入-平台800" sheetId="5" r:id="rId2"/>
    <sheet name="03-卡片输入-平台1400" sheetId="6" r:id="rId3"/>
    <sheet name="_Templates" sheetId="4" state="veryHidden" r:id="rId4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B2" i="6" l="1"/>
  <c r="B2" i="5"/>
  <c r="B2" i="2"/>
</calcChain>
</file>

<file path=xl/sharedStrings.xml><?xml version="1.0" encoding="utf-8"?>
<sst xmlns="http://schemas.openxmlformats.org/spreadsheetml/2006/main" count="1023" uniqueCount="245">
  <si>
    <t>02 平台卡片录入 (PLT-XXXX.md)</t>
  </si>
  <si>
    <t>生成文件名（自动）</t>
  </si>
  <si>
    <t>保存目录: C:\TestClaude\SmartLabOS-AI-Assistant\卡片生成</t>
  </si>
  <si>
    <t>分组</t>
  </si>
  <si>
    <t>字段名称</t>
  </si>
  <si>
    <t>输入内容</t>
  </si>
  <si>
    <t>注意事项 / 输入说明</t>
  </si>
  <si>
    <t>YAML Key（隐藏）</t>
  </si>
  <si>
    <t>类型（隐藏）</t>
  </si>
  <si>
    <t>group_key (隐藏)</t>
  </si>
  <si>
    <t>field_key (隐藏)</t>
  </si>
  <si>
    <t>body_heading (隐藏)</t>
  </si>
  <si>
    <t>标识与版本</t>
  </si>
  <si>
    <t>平台ID（文件名主体）</t>
  </si>
  <si>
    <t>PLT-1200</t>
  </si>
  <si>
    <t>格式：PLT-编号，例 PLT-1400。文件名将自动生成为 &lt;id&gt;.md</t>
  </si>
  <si>
    <t>id</t>
  </si>
  <si>
    <t>str</t>
  </si>
  <si>
    <t>identification_version</t>
  </si>
  <si>
    <t>平台发货号</t>
  </si>
  <si>
    <t>HHM40D-005</t>
  </si>
  <si>
    <t>格式：PRD-PLT-yyyymm序号</t>
  </si>
  <si>
    <t>Platform_Part_No</t>
  </si>
  <si>
    <t>platform_part_no</t>
  </si>
  <si>
    <t>平台显示名称</t>
  </si>
  <si>
    <t>1200x850mm离心管自动化岛标准平台</t>
  </si>
  <si>
    <t>对外展示名称</t>
  </si>
  <si>
    <t>name</t>
  </si>
  <si>
    <t>卡片版本号</t>
  </si>
  <si>
    <t>1.0</t>
  </si>
  <si>
    <t>卡片修订版本，例 1.0、1.2</t>
  </si>
  <si>
    <t>version</t>
  </si>
  <si>
    <t>状态</t>
  </si>
  <si>
    <t>active</t>
  </si>
  <si>
    <t>draft=草稿；active=启用；deprecated=废弃</t>
  </si>
  <si>
    <t>status</t>
  </si>
  <si>
    <t>choice</t>
  </si>
  <si>
    <t>最后更新日期</t>
  </si>
  <si>
    <t>2026-04-01</t>
  </si>
  <si>
    <t>格式 YYYY-MM-DD</t>
  </si>
  <si>
    <t>last_updated</t>
  </si>
  <si>
    <t>date</t>
  </si>
  <si>
    <t>负责人/团队</t>
  </si>
  <si>
    <t>徐翔宇</t>
  </si>
  <si>
    <t>可选</t>
  </si>
  <si>
    <t>owner</t>
  </si>
  <si>
    <t>物理规格</t>
  </si>
  <si>
    <t>长 (mm)</t>
  </si>
  <si>
    <t>dimensions_mm.length</t>
  </si>
  <si>
    <t>int</t>
  </si>
  <si>
    <t>physical_specs</t>
  </si>
  <si>
    <t>length_mm</t>
  </si>
  <si>
    <t>宽 (mm)</t>
  </si>
  <si>
    <t>dimensions_mm.width</t>
  </si>
  <si>
    <t>width_mm</t>
  </si>
  <si>
    <t>高 (mm)</t>
  </si>
  <si>
    <t>dimensions_mm.height</t>
  </si>
  <si>
    <t>height_mm</t>
  </si>
  <si>
    <t>重量 (kg)</t>
  </si>
  <si>
    <t>weight_kg</t>
  </si>
  <si>
    <t>float</t>
  </si>
  <si>
    <t>占地面积 (m²)</t>
  </si>
  <si>
    <t>footprint_m2</t>
  </si>
  <si>
    <t>承载能力</t>
  </si>
  <si>
    <t>最大模块数</t>
  </si>
  <si>
    <t>平台可承载的模块上限</t>
  </si>
  <si>
    <t>max_modules</t>
  </si>
  <si>
    <t>capacity</t>
  </si>
  <si>
    <t>模块宽(mm)</t>
  </si>
  <si>
    <t>module_width_mm</t>
  </si>
  <si>
    <t>模块深(mm)</t>
  </si>
  <si>
    <t>module_depth_mm</t>
  </si>
  <si>
    <t>模块高(mm)</t>
  </si>
  <si>
    <t>module_height_mm</t>
  </si>
  <si>
    <t>适用的模块</t>
  </si>
  <si>
    <t>模块1-ID</t>
  </si>
  <si>
    <t>supported_modules</t>
  </si>
  <si>
    <t>模块2-ID</t>
  </si>
  <si>
    <t>(cont)</t>
  </si>
  <si>
    <t>模块3-ID</t>
  </si>
  <si>
    <t>模块4-ID</t>
  </si>
  <si>
    <t>...........</t>
  </si>
  <si>
    <t>最大托盘数</t>
  </si>
  <si>
    <t>平台可承载的托盘上限</t>
  </si>
  <si>
    <t>max_trays</t>
  </si>
  <si>
    <t>托盘宽 (mm)</t>
  </si>
  <si>
    <t>tray_size_mm.length</t>
  </si>
  <si>
    <t>tray_length_mm</t>
  </si>
  <si>
    <t>托盘深(mm)</t>
  </si>
  <si>
    <t>tray_size_mm.width</t>
  </si>
  <si>
    <t>tray_depth_mm</t>
  </si>
  <si>
    <t>托盘高 (mm)</t>
  </si>
  <si>
    <t>tray_height_mm</t>
  </si>
  <si>
    <t>适用的托盘</t>
  </si>
  <si>
    <t>托盘1-ID</t>
  </si>
  <si>
    <t>supported_trays</t>
  </si>
  <si>
    <t>托盘2-ID</t>
  </si>
  <si>
    <t>托盘3-ID</t>
  </si>
  <si>
    <t>托盘4-ID</t>
  </si>
  <si>
    <t>托盘布局</t>
  </si>
  <si>
    <t>2X4</t>
  </si>
  <si>
    <r>
      <rPr>
        <sz val="9"/>
        <color rgb="FF666666"/>
        <rFont val="等线"/>
        <charset val="134"/>
        <scheme val="minor"/>
      </rPr>
      <t>例 2x4 描述布局；可选；</t>
    </r>
    <r>
      <rPr>
        <sz val="9"/>
        <color rgb="FFFF0000"/>
        <rFont val="等线"/>
        <charset val="134"/>
        <scheme val="minor"/>
      </rPr>
      <t>托盘左上角要不要做标识，托盘左上角相对平台的位置（不同类型平台相对位置不一样）</t>
    </r>
  </si>
  <si>
    <t>tray_layout</t>
  </si>
  <si>
    <t>功能与配置</t>
  </si>
  <si>
    <t>支持的工艺功能（每行一项）</t>
  </si>
  <si>
    <t xml:space="preserve">  - 称量
  - 提取
  - 浓缩
  - 净化
  - 过滤
  - 萃取
  - 定容
  - 消解
...........</t>
  </si>
  <si>
    <t>每行一个功能，例：
称量
提取
净化</t>
  </si>
  <si>
    <t>supported_functions</t>
  </si>
  <si>
    <t>list_block</t>
  </si>
  <si>
    <t>function_config</t>
  </si>
  <si>
    <t>移液规格（逗号分隔，单位 ml）</t>
  </si>
  <si>
    <t>0.05，0.2，1，5，10</t>
  </si>
  <si>
    <t>输出为数字数组，例：10, 5, 2, 1</t>
  </si>
  <si>
    <t>pipette_options_ml</t>
  </si>
  <si>
    <t>list_inline_num</t>
  </si>
  <si>
    <r>
      <rPr>
        <sz val="11"/>
        <color rgb="FFFF0000"/>
        <rFont val="等线"/>
        <charset val="134"/>
        <scheme val="minor"/>
      </rPr>
      <t>夹爪</t>
    </r>
    <r>
      <rPr>
        <sz val="11"/>
        <color theme="1"/>
        <rFont val="等线"/>
        <charset val="134"/>
        <scheme val="minor"/>
      </rPr>
      <t>选项（每行一项）</t>
    </r>
  </si>
  <si>
    <t xml:space="preserve">夹爪1（2ml、 4ml，10ml，15ml， 35ml， 50ml西林瓶;：2ml~15ml离心管)
夹爪2（，10ml，15ml，35ml，50ml西林瓶；：15ml-50ml离心管，8g盐管
夹小3（50ml离儿管；30ml~125ml的PP瓶
夹爪4（13mm过滤器，3CC～10CC，SPE柱）
夹爪5（10CC~20CC，SPE柱)
夹爪6（容量瓶：50-250ml）
夹爪7（连续加盐罐
夹爪8（锥型瓶150-250ml)
夹爪9（消解管）
...........
</t>
  </si>
  <si>
    <t>每行一个抓手</t>
  </si>
  <si>
    <t>gripper_options</t>
  </si>
  <si>
    <t>模块兼容类型（每行一项）</t>
  </si>
  <si>
    <t>模块大类1
模块大类2
模块大类3
模块大类4
...........</t>
  </si>
  <si>
    <t>可选，每行一种模块大类</t>
  </si>
  <si>
    <t>module_compatibility</t>
  </si>
  <si>
    <t>电气与环境</t>
  </si>
  <si>
    <t>额定功率 (kVA)</t>
  </si>
  <si>
    <t>power_kva_nominal</t>
  </si>
  <si>
    <t>electrical_environment</t>
  </si>
  <si>
    <t>峰值功率 (kVA)</t>
  </si>
  <si>
    <t>power_kva_peak</t>
  </si>
  <si>
    <t>电压 (V)</t>
  </si>
  <si>
    <t>voltage_v</t>
  </si>
  <si>
    <t>是否需要通风</t>
  </si>
  <si>
    <t>false</t>
  </si>
  <si>
    <t>requires_ventilation</t>
  </si>
  <si>
    <t>bool</t>
  </si>
  <si>
    <t>是否需要压缩空气</t>
  </si>
  <si>
    <t>true</t>
  </si>
  <si>
    <t>requires_compressed_air</t>
  </si>
  <si>
    <t>环境温度-min (℃)</t>
  </si>
  <si>
    <t>ambient_temp_c.min</t>
  </si>
  <si>
    <t>ambient_temp_c_min</t>
  </si>
  <si>
    <t>环境温度-max (℃)</t>
  </si>
  <si>
    <t>ambient_temp_c.max</t>
  </si>
  <si>
    <t>ambient_temp_c_max</t>
  </si>
  <si>
    <t>限制</t>
  </si>
  <si>
    <t>最大加热模块数</t>
  </si>
  <si>
    <t>超过该数量需通风</t>
  </si>
  <si>
    <t>constraints.max_heating_modules</t>
  </si>
  <si>
    <t>constraints</t>
  </si>
  <si>
    <t>max_heating_modules</t>
  </si>
  <si>
    <t>需电力复核的模块组合（每行一组）</t>
  </si>
  <si>
    <r>
      <rPr>
        <sz val="11"/>
        <color theme="1"/>
        <rFont val="宋体"/>
        <charset val="134"/>
      </rPr>
      <t>模块ID/模块名称   
浓缩模块</t>
    </r>
    <r>
      <rPr>
        <sz val="11"/>
        <color theme="1"/>
        <rFont val="Consolas"/>
        <family val="3"/>
      </rPr>
      <t xml:space="preserve"> 48V</t>
    </r>
    <r>
      <rPr>
        <sz val="11"/>
        <color theme="1"/>
        <rFont val="宋体"/>
        <charset val="134"/>
      </rPr>
      <t>电压</t>
    </r>
    <r>
      <rPr>
        <sz val="11"/>
        <color theme="1"/>
        <rFont val="Consolas"/>
        <family val="3"/>
      </rPr>
      <t xml:space="preserve">
</t>
    </r>
    <r>
      <rPr>
        <sz val="11"/>
        <color theme="1"/>
        <rFont val="宋体"/>
        <charset val="134"/>
      </rPr>
      <t>恒温振摇</t>
    </r>
    <r>
      <rPr>
        <sz val="11"/>
        <color theme="1"/>
        <rFont val="Consolas"/>
        <family val="3"/>
      </rPr>
      <t xml:space="preserve"> 220V</t>
    </r>
    <r>
      <rPr>
        <sz val="11"/>
        <color theme="1"/>
        <rFont val="宋体"/>
        <charset val="134"/>
      </rPr>
      <t>电压</t>
    </r>
    <r>
      <rPr>
        <sz val="11"/>
        <color theme="1"/>
        <rFont val="Consolas"/>
        <family val="3"/>
      </rPr>
      <t xml:space="preserve">
.......</t>
    </r>
  </si>
  <si>
    <t>每行一组，YAML 列表格式，例：
- [SPE, 浓缩]
- [离心, 加热]</t>
  </si>
  <si>
    <t>constraints.power_check_combos</t>
  </si>
  <si>
    <t>raw_yaml_block</t>
  </si>
  <si>
    <t>power_check_combos</t>
  </si>
  <si>
    <t>禁止同台的模块组合（每行一组）</t>
  </si>
  <si>
    <r>
      <rPr>
        <sz val="11"/>
        <color theme="1"/>
        <rFont val="宋体"/>
        <charset val="134"/>
      </rPr>
      <t>模块</t>
    </r>
    <r>
      <rPr>
        <sz val="11"/>
        <color theme="1"/>
        <rFont val="Consolas"/>
        <family val="3"/>
      </rPr>
      <t>ID/</t>
    </r>
    <r>
      <rPr>
        <sz val="11"/>
        <color theme="1"/>
        <rFont val="宋体"/>
        <charset val="134"/>
      </rPr>
      <t>模块名称</t>
    </r>
    <r>
      <rPr>
        <sz val="11"/>
        <color theme="1"/>
        <rFont val="Consolas"/>
        <family val="3"/>
      </rPr>
      <t xml:space="preserve"> </t>
    </r>
    <r>
      <rPr>
        <sz val="11"/>
        <color theme="1"/>
        <rFont val="宋体"/>
        <charset val="134"/>
      </rPr>
      <t>与</t>
    </r>
    <r>
      <rPr>
        <sz val="11"/>
        <color theme="1"/>
        <rFont val="Consolas"/>
        <family val="3"/>
      </rPr>
      <t xml:space="preserve"> </t>
    </r>
    <r>
      <rPr>
        <sz val="11"/>
        <color theme="1"/>
        <rFont val="宋体"/>
        <charset val="134"/>
      </rPr>
      <t>模块</t>
    </r>
    <r>
      <rPr>
        <sz val="11"/>
        <color theme="1"/>
        <rFont val="Consolas"/>
        <family val="3"/>
      </rPr>
      <t>ID/</t>
    </r>
    <r>
      <rPr>
        <sz val="11"/>
        <color theme="1"/>
        <rFont val="宋体"/>
        <charset val="134"/>
      </rPr>
      <t>模块名称</t>
    </r>
  </si>
  <si>
    <t>格式同上；无则留空</t>
  </si>
  <si>
    <t>constraints.forbidden_combos</t>
  </si>
  <si>
    <t>forbidden_combos</t>
  </si>
  <si>
    <t>价格</t>
  </si>
  <si>
    <t>内部成本价 (RMB)</t>
  </si>
  <si>
    <t>留空将输出 null。报价请联系销售</t>
  </si>
  <si>
    <t>price_rmb</t>
  </si>
  <si>
    <t>price</t>
  </si>
  <si>
    <t>cost_internal_rmb</t>
  </si>
  <si>
    <t>销售底价(RMB)</t>
  </si>
  <si>
    <t>sales_floor_rmb</t>
  </si>
  <si>
    <t>对外报价(RMB)</t>
  </si>
  <si>
    <t>quote_rmb</t>
  </si>
  <si>
    <t>平台交付</t>
  </si>
  <si>
    <t>交付周期（周）</t>
  </si>
  <si>
    <t>lead_time_weeks</t>
  </si>
  <si>
    <t>delivery_maintenance</t>
  </si>
  <si>
    <t>平台维护</t>
  </si>
  <si>
    <t>维护周期   (月)</t>
  </si>
  <si>
    <t>maintenance_cycle_months</t>
  </si>
  <si>
    <t>标签</t>
  </si>
  <si>
    <t>标签（逗号分隔）</t>
  </si>
  <si>
    <t>主力机型, 中通量, 主推</t>
  </si>
  <si>
    <t>输出为 [a, b, c]</t>
  </si>
  <si>
    <t>tags</t>
  </si>
  <si>
    <t>list_inline</t>
  </si>
  <si>
    <t>tags_meta</t>
  </si>
  <si>
    <t>正文</t>
  </si>
  <si>
    <t>用途说明</t>
  </si>
  <si>
    <t>最常用的主力平台,可承载 6 个模块 + 8 个托盘,兼顾通量和灵活性。适合食品检测、环境监测等中通量场景,是公司目前出货量最大的平台型号。</t>
  </si>
  <si>
    <t>一段话描述平台定位、目标场景、与其他平台的区别</t>
  </si>
  <si>
    <t>body.purpose</t>
  </si>
  <si>
    <t>body</t>
  </si>
  <si>
    <t>purpose</t>
  </si>
  <si>
    <t>Purpose (用途说明)</t>
  </si>
  <si>
    <t>URS</t>
  </si>
  <si>
    <t>URS文档地址</t>
  </si>
  <si>
    <t>URS连接</t>
  </si>
  <si>
    <t>documentation</t>
  </si>
  <si>
    <t>urs_url</t>
  </si>
  <si>
    <t>URD</t>
  </si>
  <si>
    <t>URD文档地址</t>
  </si>
  <si>
    <t>URD连接</t>
  </si>
  <si>
    <t>urd_url</t>
  </si>
  <si>
    <t>PLC源程序</t>
  </si>
  <si>
    <t>PLC源程序地址</t>
  </si>
  <si>
    <t>PLC源程序连接</t>
  </si>
  <si>
    <t>plc_source_url</t>
  </si>
  <si>
    <t>应用场景</t>
  </si>
  <si>
    <t>典型配置示例</t>
  </si>
  <si>
    <t>- 提取平台:1x50ml加液涡旋+1x振荡+1x全量转移+1x离心模块+1x注射泵加液+1x移液枪
- SPE净化平台:2X3cc/6ccSPE模块+1x移液枪+1x正压加液
-浓缩复溶平台：2x50ml浓缩模块+2x15ml浓缩模块+1x15ml超声模块+1x移液枪
-离心净化平台：1x2ml离心管拆盖+1x5cc筒式过滤模块+1x2ml高速离心机
-恒温存储平台：1x50ml涡旋模块+50ml恒温存储模块（48位）</t>
  </si>
  <si>
    <t>列出几种典型配置，每条用 - 开头</t>
  </si>
  <si>
    <t>body.config_examples</t>
  </si>
  <si>
    <t>config_examples</t>
  </si>
  <si>
    <t>Typical Configurations (典型配置示例)</t>
  </si>
  <si>
    <t>限制与注意事项</t>
  </si>
  <si>
    <t>- 平台手指需要兼容平台模块，标准手指有时候不匹配，需要定制
- 实验室用设备必须有接地线；❌ 不能在潮湿环境使用
- 操作时手不要伸入运动区域；❌ 维修时必须断电
- 每个工位必须有急停按钮；❌ 不要强行复位报警</t>
  </si>
  <si>
    <t>用人话补充 constraints 字段背景及注意事项</t>
  </si>
  <si>
    <t>body.limits</t>
  </si>
  <si>
    <t>limits</t>
  </si>
  <si>
    <t>Constraints &amp; Cautions (限制与注意事项)</t>
  </si>
  <si>
    <t>备注</t>
  </si>
  <si>
    <t>- 维护周期:年度大保养 + 季度日常点检
- 安装时需确认实验室地面承重 ≥ 500 kg/m²
- 标配 UPS 接口,推荐配 3 kVA 在线式 UPS
- 实验室平台的核心限制 = 精度受机械/流体/温度影响 + 生物安全要求极高 + 安全防护不能省。 记住三个关键词：排气（防气泡）、校准（保精度）、无菌（防污染）——做到这三点，90%的问题都能避免</t>
  </si>
  <si>
    <t>维护周期、已知坑、订货注意事项等</t>
  </si>
  <si>
    <t>body.notes</t>
  </si>
  <si>
    <t>notes</t>
  </si>
  <si>
    <t>Remarks (备注)</t>
  </si>
  <si>
    <t>PLT-800</t>
  </si>
  <si>
    <t>HHM40D-002</t>
  </si>
  <si>
    <t>800×850mm离心管自动化岛标准平台</t>
  </si>
  <si>
    <t>3.0</t>
  </si>
  <si>
    <t>2025/6/20</t>
  </si>
  <si>
    <t>1X4</t>
  </si>
  <si>
    <t>最常用的主力平台,可承载 3 个模块 + 4 个托盘,兼顾通量和灵活性。适合食品检测、环境监测等中通量场景,是公司目前出货量最大的平台型号。</t>
  </si>
  <si>
    <t>- 提取平台:1x50ml加液涡旋+1x振荡+1x全量转移+1x离心模块+1x注射泵加液+1x移液枪
- SPE净化平台:2X3cc/6ccSPE模块+1x移液枪+1x正压加液
-浓缩复溶平台：2x50ml浓缩模块+2x15ml浓缩模块+1x15ml超声模块+1x移液枪
-离心净化平台：1x2ml离心管拆盖+1x5cc筒式过滤模块+1x2ml高速离心机</t>
  </si>
  <si>
    <t>PLT-1400</t>
  </si>
  <si>
    <t>HHM40D-001</t>
  </si>
  <si>
    <t>1400×850mm离心管自动化岛标准平台</t>
  </si>
  <si>
    <t>1X8</t>
  </si>
  <si>
    <t>最常用的主力平台,可承载 6 个模块 + 8 个托盘,兼顾通量和灵活性。适合食品检测、环境监测等中通量场景,</t>
  </si>
  <si>
    <t>- 上样平台:1x2ml离心管加盐模块+1x2ml离心管正压加液涡旋模块+1x2ML拆装盖模块
- 离心平台：1x离心机
- 净化平台：1x2ml正压加液涡旋模块+2ml带磁拆装盖加液模块+1x2ML拆装盖模块
- 浓缩平台：1x2ML拆装盖模块+2ml西林瓶离心浓缩模块</t>
  </si>
  <si>
    <t>module</t>
  </si>
  <si>
    <t xml:space="preserve">---
id: {{id}}
Module_Part_No: {{Module_Part_No}}
name: {{name}}
category: {{category}}
version: {{version}}
status: {{status}}
last_updated: {{last_updated}}
owner: {{owner}}
dimensions_mm:
  length: {{dimensions_mm.length}}
  width: {{dimensions_mm.width}}
  height: {{dimensions_mm.height}}
weight_kg: {{weight_kg}}
module_slots: {{module_slots}}
tray_slots: {{tray_slots}}
mount_type: {{mount_type}}
function: {{function}}
sub_functions: [{{sub_functions|inline}}]
throughput:
  capacity: {{throughput.capacity}}
  unit: {{throughput.unit}}
  cycle_time_min: {{throughput.cycle_time_min}}
parameters:
  volume_ml: { min: {{parameters.volume_ml.min}}, max: {{parameters.volume_ml.max}} }
  temperature_c: { min: {{parameters.temperature_c.min}}, max: {{parameters.temperature_c.max}} }
  speed_rpm: { min: {{parameters.speed_rpm.min}}, max: {{parameters.speed_rpm.max}} }
  pressure_bar: { min: {{parameters.pressure_bar.min}}, max: {{parameters.pressure_bar.max}} }
consumables:
{{consumables|block:2}}
sample_container:
{{sample_container|block:2}}
gripper_required:
{{gripper_required|block:2}}
power_kva_nominal: {{power_kva_nominal}}
power_kva_peak: {{power_kva_peak}}
voltage_v: {{voltage_v}}
heat_generating: {{heat_generating}}
requires_ventilation: {{requires_ventilation}}
requires_compressed_air: {{requires_compressed_air}}
requires_water: {{requires_water}}
requires_drain: {{requires_drain}}
noise_db: {{noise_db}}
compatible_platforms:
{{compatible_platforms|block:2}}
incompatible_platforms:
{{incompatible_platforms|block:2}}
dependencies:
{{dependencies|block:2}}
conflicts:
{{conflicts|block:2}}
typical_pairings:
{{typical_pairings|block:2}}
price_rmb: {{price_rmb}}
lead_time_weeks: {{lead_time_weeks}}
maintenance_cycle_months: {{maintenance_cycle_months}}
tags: [{{tags|inline}}]
---
# {{name}}
## 用途说明
{{body.purpose}}
## 典型应用场景
{{body.scenarios}}
## 工作原理
{{body.principle}}
## 限制与注意事项
{{body.limits}}
## 备注
{{body.notes}}
</t>
  </si>
  <si>
    <t>platform</t>
  </si>
  <si>
    <t xml:space="preserve">---
id: {{id}}
Platform_Part_No: {{Platform_Part_No}}
name: {{name}}
version: {{version}}
status: {{status}}
last_updated: {{last_updated}}
owner: {{owner}}
dimensions_mm:
  length: {{dimensions_mm.length}}
  width: {{dimensions_mm.width}}
  height: {{dimensions_mm.height}}
weight_kg: {{weight_kg}}
footprint_m2: {{footprint_m2}}
max_modules: {{max_modules}}
max_trays: {{max_trays}}
tray_size_mm:
  length: {{tray_size_mm.length}}
  width: {{tray_size_mm.width}}
tray_layout: "{{tray_layout}}"
supported_functions:
{{supported_functions|block:2}}
pipette_options_ml: [{{pipette_options_ml|inline}}]
gripper_options:
{{gripper_options|block:2}}
module_compatibility:
{{module_compatibility|block:2}}
power_kva_nominal: {{power_kva_nominal}}
power_kva_peak: {{power_kva_peak}}
voltage_v: {{voltage_v}}
requires_ventilation: {{requires_ventilation}}
requires_compressed_air: {{requires_compressed_air}}
ambient_temp_c: { min: {{ambient_temp_c.min}}, max: {{ambient_temp_c.max}} }
constraints:
  max_heating_modules: {{constraints.max_heating_modules}}
  power_check_combos:
{{constraints.power_check_combos|raw:4}}
  forbidden_combos:
{{constraints.forbidden_combos|raw:4}}
price_rmb: {{price_rmb}}
lead_time_weeks: {{lead_time_weeks}}
tags: [{{tags|inline}}]
---
# {{name}}
## 用途说明
{{body.purpose}}
## 典型配置示例
{{body.config_examples}}
## 限制
{{body.limits}}
## 备注
{{body.notes}}
</t>
  </si>
  <si>
    <t>solution</t>
  </si>
  <si>
    <t xml:space="preserve">---
id: {{id}}
name: {{name}}
version: {{version}}
status: {{status}}
last_updated: {{last_updated}}
owner: {{owner}}
maturity: {{maturity}}
target_industry:
{{target_industry|block:2}}
target_samples:
{{target_samples|block:2}}
target_analytes:
{{target_analytes|block:2}}
throughput_target:
  samples_per_day: {{throughput_target.samples_per_day}}
  samples_per_batch: {{throughput_target.samples_per_batch}}
turnaround_time_h: {{turnaround_time_h}}
matches_standards:
{{matches_standards|block:2}}
platform:
  id: {{platform.id}}
  quantity: {{platform.quantity}}
modules:
{{modules|modules:2}}
accessories:
{{accessories|block:2}}
workflow:
{{workflow|workflow:2}}
total_cycle_time_min: {{total_cycle_time_min}}
parallel_capacity: {{parallel_capacity}}
performance:
  recovery_rate: { min: {{performance.recovery_rate.min}}, max: {{performance.recovery_rate.max}} }
  rsd_percent: {{performance.rsd_percent}}
  detection_limit: {{performance.detection_limit}}
  validated: {{performance.validated}}
resource_summary:
  total_modules_used: {{resource_summary.total_modules_used}}
  total_trays_used: {{resource_summary.total_trays_used}}
  total_power_kva_peak: {{resource_summary.total_power_kva_peak}}
  ventilation_required: {{resource_summary.ventilation_required}}
  compressed_air_required: {{resource_summary.compressed_air_required}}
  water_required: {{resource_summary.water_required}}
price_rmb:
  hardware: {{price_rmb.hardware}}
  installation: {{price_rmb.installation}}
  training: {{price_rmb.training}}
  first_year_service: {{price_rmb.first_year_service}}
  total: {{price_rmb.total}}
lead_time_weeks: {{lead_time_weeks}}
warranty_months: {{warranty_months}}
deployments:
{{deployments|deployments:2}}
alternatives:
{{alternatives|alternatives:2}}
upgrades:
{{upgrades|upgrades:2}}
tags: [{{tags|inline}}]
---
# {{name}}
## 方案定位
{{body.positioning}}
## 适用客户画像
{{body.customer_profile}}
## 工艺流程说明
{{body.workflow_desc}}
## 配置说明
{{body.config_desc}}
## 性能数据
{{body.performance_data}}
## 部署要求
{{body.deployment}}
## 已知限制
{{body.known_limits}}
## 客户常见问题
{{body.faq}}
## 备注
{{body.notes}}
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</si>
</sst>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4">
    <font>
      <sz val="11"/>
      <color theme="1"/>
      <name val="等线"/>
      <charset val="134"/>
      <scheme val="minor"/>
    </font>
    <font>
      <b/>
      <sz val="14"/>
      <color theme="1"/>
      <name val="等线"/>
      <charset val="134"/>
      <scheme val="minor"/>
    </font>
    <font>
      <b/>
      <sz val="11"/>
      <color theme="1"/>
      <name val="等线"/>
      <charset val="134"/>
      <scheme val="minor"/>
    </font>
    <font>
      <b/>
      <sz val="11"/>
      <color rgb="FF0000FF"/>
      <name val="等线"/>
      <charset val="134"/>
      <scheme val="minor"/>
    </font>
    <font>
      <i/>
      <sz val="9"/>
      <color theme="1"/>
      <name val="等线"/>
      <charset val="134"/>
      <scheme val="minor"/>
    </font>
    <font>
      <sz val="9"/>
      <color rgb="FF666666"/>
      <name val="等线"/>
      <charset val="134"/>
      <scheme val="minor"/>
    </font>
    <font>
      <sz val="11"/>
      <color rgb="FFFF0000"/>
      <name val="等线"/>
      <charset val="134"/>
      <scheme val="minor"/>
    </font>
    <font>
      <sz val="11"/>
      <color theme="1"/>
      <name val="宋体"/>
      <charset val="134"/>
    </font>
    <font>
      <sz val="11"/>
      <name val="等线"/>
      <charset val="134"/>
      <scheme val="minor"/>
    </font>
    <font>
      <sz val="11"/>
      <color theme="1"/>
      <name val="Consolas"/>
      <family val="3"/>
    </font>
    <font>
      <sz val="9"/>
      <color rgb="FFFF0000"/>
      <name val="等线"/>
      <charset val="134"/>
      <scheme val="minor"/>
    </font>
    <font>
      <b/>
      <sz val="11"/>
      <color rgb="FF000000"/>
      <name val="等线"/>
      <family val="3"/>
      <charset val="134"/>
    </font>
    <font>
      <sz val="11"/>
      <color rgb="FF000000"/>
      <name val="等线"/>
      <family val="3"/>
      <charset val="134"/>
    </font>
    <font>
      <sz val="9"/>
      <name val="等线"/>
      <family val="3"/>
      <charset val="134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79646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FFFF"/>
        <bgColor indexed="64"/>
      </patternFill>
    </fill>
  </fills>
  <borders count="3">
    <border>
      <left/>
      <right/>
      <top/>
      <bottom/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>
      <alignment vertical="center"/>
    </xf>
  </cellStyleXfs>
  <cellXfs count="23">
    <xf numFmtId="0" fontId="0" fillId="0" borderId="0" xfId="0">
      <alignment vertical="center"/>
    </xf>
    <xf numFmtId="0" fontId="0" fillId="0" borderId="0" xfId="0" applyAlignment="1">
      <alignment vertical="center" wrapText="1"/>
    </xf>
    <xf numFmtId="0" fontId="2" fillId="0" borderId="0" xfId="0" applyFont="1">
      <alignment vertical="center"/>
    </xf>
    <xf numFmtId="0" fontId="3" fillId="0" borderId="0" xfId="0" applyFont="1">
      <alignment vertical="center"/>
    </xf>
    <xf numFmtId="0" fontId="2" fillId="3" borderId="1" xfId="0" applyFont="1" applyFill="1" applyBorder="1" applyAlignment="1">
      <alignment horizontal="center" vertical="center"/>
    </xf>
    <xf numFmtId="0" fontId="2" fillId="4" borderId="0" xfId="0" applyFont="1" applyFill="1">
      <alignment vertical="center"/>
    </xf>
    <xf numFmtId="49" fontId="0" fillId="5" borderId="0" xfId="0" applyNumberFormat="1" applyFill="1">
      <alignment vertical="center"/>
    </xf>
    <xf numFmtId="0" fontId="5" fillId="0" borderId="0" xfId="0" applyFont="1" applyAlignment="1">
      <alignment vertical="top" wrapText="1"/>
    </xf>
    <xf numFmtId="49" fontId="0" fillId="5" borderId="0" xfId="0" applyNumberFormat="1" applyFill="1" applyAlignment="1">
      <alignment vertical="center" wrapText="1"/>
    </xf>
    <xf numFmtId="0" fontId="0" fillId="5" borderId="0" xfId="0" applyFill="1">
      <alignment vertical="center"/>
    </xf>
    <xf numFmtId="0" fontId="2" fillId="0" borderId="0" xfId="0" applyFont="1" applyFill="1">
      <alignment vertical="center"/>
    </xf>
    <xf numFmtId="0" fontId="0" fillId="0" borderId="0" xfId="0" applyFill="1">
      <alignment vertical="center"/>
    </xf>
    <xf numFmtId="49" fontId="0" fillId="5" borderId="0" xfId="0" applyNumberFormat="1" applyFill="1" applyAlignment="1">
      <alignment vertical="top" wrapText="1"/>
    </xf>
    <xf numFmtId="0" fontId="6" fillId="0" borderId="0" xfId="0" applyFont="1">
      <alignment vertical="center"/>
    </xf>
    <xf numFmtId="49" fontId="7" fillId="5" borderId="0" xfId="0" applyNumberFormat="1" applyFont="1" applyFill="1" applyAlignment="1">
      <alignment vertical="top" wrapText="1"/>
    </xf>
    <xf numFmtId="0" fontId="2" fillId="4" borderId="0" xfId="0" applyFont="1" applyFill="1" applyAlignment="1">
      <alignment vertical="center" wrapText="1"/>
    </xf>
    <xf numFmtId="49" fontId="8" fillId="5" borderId="2" xfId="0" applyNumberFormat="1" applyFont="1" applyFill="1" applyBorder="1" applyAlignment="1">
      <alignment vertical="top" wrapText="1"/>
    </xf>
    <xf numFmtId="49" fontId="6" fillId="5" borderId="0" xfId="0" applyNumberFormat="1" applyFont="1" applyFill="1" applyAlignment="1">
      <alignment vertical="top" wrapText="1"/>
    </xf>
    <xf numFmtId="0" fontId="0" fillId="0" borderId="2" xfId="0" applyBorder="1">
      <alignment vertical="center"/>
    </xf>
    <xf numFmtId="49" fontId="6" fillId="5" borderId="2" xfId="0" applyNumberFormat="1" applyFont="1" applyFill="1" applyBorder="1" applyAlignment="1">
      <alignment vertical="top" wrapText="1"/>
    </xf>
    <xf numFmtId="0" fontId="1" fillId="2" borderId="0" xfId="0" applyFont="1" applyFill="1" applyAlignment="1">
      <alignment horizontal="center" vertical="center"/>
    </xf>
    <xf numFmtId="0" fontId="0" fillId="0" borderId="0" xfId="0" applyAlignment="1">
      <alignment horizontal="center" vertical="center"/>
    </xf>
    <xf numFmtId="0" fontId="4" fillId="0" borderId="0" xfId="0" applyFont="1">
      <alignment vertical="center"/>
    </xf>
  </cellXfs>
  <cellStyles count="1">
    <cellStyle name="常规" xfId="0" builtinId="0"/>
  </cellStyles>
  <dxfs count="0"/>
  <tableStyles count="0" defaultTableStyle="TableStyleMedium2" defaultPivotStyle="PivotStyleLight16"/>
  <colors>
    <mruColors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/>
</file>

<file path=xl/ctrlProps/ctrlProp2.xml><?xml version="1.0" encoding="utf-8"?>
<formControlPr xmlns="http://schemas.microsoft.com/office/spreadsheetml/2009/9/main" objectType="Button"/>
</file>

<file path=xl/ctrlProps/ctrlProp3.xml><?xml version="1.0" encoding="utf-8"?>
<formControlPr xmlns="http://schemas.microsoft.com/office/spreadsheetml/2009/9/main" objectType="Button"/>
</file>

<file path=xl/ctrlProps/ctrlProp4.xml><?xml version="1.0" encoding="utf-8"?>
<formControlPr xmlns="http://schemas.microsoft.com/office/spreadsheetml/2009/9/main" objectType="Button"/>
</file>

<file path=xl/ctrlProps/ctrlProp5.xml><?xml version="1.0" encoding="utf-8"?>
<formControlPr xmlns="http://schemas.microsoft.com/office/spreadsheetml/2009/9/main" objectType="Button"/>
</file>

<file path=xl/ctrlProps/ctrlProp6.xml><?xml version="1.0" encoding="utf-8"?>
<formControlPr xmlns="http://schemas.microsoft.com/office/spreadsheetml/2009/9/main" objectType="Button"/>
</file>

<file path=xl/ctrlProps/ctrlProp7.xml><?xml version="1.0" encoding="utf-8"?>
<formControlPr xmlns="http://schemas.microsoft.com/office/spreadsheetml/2009/9/main" objectType="Button"/>
</file>

<file path=xl/ctrlProps/ctrlProp8.xml><?xml version="1.0" encoding="utf-8"?>
<formControlPr xmlns="http://schemas.microsoft.com/office/spreadsheetml/2009/9/main" objectType="Button"/>
</file>

<file path=xl/ctrlProps/ctrlProp9.xml><?xml version="1.0" encoding="utf-8"?>
<formControlPr xmlns="http://schemas.microsoft.com/office/spreadsheetml/2009/9/main" objectType="Button"/>
</file>

<file path=xl/ctrlProps/ctrlProp10.xml><?xml version="1.0" encoding="utf-8"?>
<formControlPr xmlns="http://schemas.microsoft.com/office/spreadsheetml/2009/9/main" objectType="Button"/>
</file>

<file path=xl/ctrlProps/ctrlProp11.xml><?xml version="1.0" encoding="utf-8"?>
<formControlPr xmlns="http://schemas.microsoft.com/office/spreadsheetml/2009/9/main" objectType="Button"/>
</file>

<file path=xl/ctrlProps/ctrlProp12.xml><?xml version="1.0" encoding="utf-8"?>
<formControlPr xmlns="http://schemas.microsoft.com/office/spreadsheetml/2009/9/main" objectType="Button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76200</xdr:colOff>
          <xdr:row>2</xdr:row>
          <xdr:rowOff>48986</xdr:rowOff>
        </xdr:from>
        <xdr:to>
          <xdr:col>1</xdr:col>
          <xdr:colOff>457200</xdr:colOff>
          <xdr:row>2</xdr:row>
          <xdr:rowOff>381000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zh-CN" altLang="en-US" sz="1100" b="1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清除当前输入项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560614</xdr:colOff>
          <xdr:row>2</xdr:row>
          <xdr:rowOff>48986</xdr:rowOff>
        </xdr:from>
        <xdr:to>
          <xdr:col>1</xdr:col>
          <xdr:colOff>2209800</xdr:colOff>
          <xdr:row>2</xdr:row>
          <xdr:rowOff>381000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zh-CN" altLang="en-US" sz="1100" b="1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清除所有输入项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2313214</xdr:colOff>
          <xdr:row>2</xdr:row>
          <xdr:rowOff>48986</xdr:rowOff>
        </xdr:from>
        <xdr:to>
          <xdr:col>2</xdr:col>
          <xdr:colOff>2514600</xdr:colOff>
          <xdr:row>2</xdr:row>
          <xdr:rowOff>381000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0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zh-CN" altLang="en-US" sz="1100" b="1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输出卡片内容到 MD 文档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48986</xdr:colOff>
          <xdr:row>2</xdr:row>
          <xdr:rowOff>21771</xdr:rowOff>
        </xdr:from>
        <xdr:to>
          <xdr:col>3</xdr:col>
          <xdr:colOff>1698171</xdr:colOff>
          <xdr:row>2</xdr:row>
          <xdr:rowOff>353786</xdr:rowOff>
        </xdr:to>
        <xdr:sp macro="" textlink="">
          <xdr:nvSpPr>
            <xdr:cNvPr id="2052" name="btnBrowse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0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选择保存路径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76200</xdr:colOff>
          <xdr:row>2</xdr:row>
          <xdr:rowOff>48986</xdr:rowOff>
        </xdr:from>
        <xdr:to>
          <xdr:col>1</xdr:col>
          <xdr:colOff>457200</xdr:colOff>
          <xdr:row>2</xdr:row>
          <xdr:rowOff>381000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zh-CN" altLang="en-US" sz="1100" b="1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清除当前输入项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560614</xdr:colOff>
          <xdr:row>2</xdr:row>
          <xdr:rowOff>48986</xdr:rowOff>
        </xdr:from>
        <xdr:to>
          <xdr:col>1</xdr:col>
          <xdr:colOff>2209800</xdr:colOff>
          <xdr:row>2</xdr:row>
          <xdr:rowOff>381000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1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zh-CN" altLang="en-US" sz="1100" b="1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清除所有输入项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2313214</xdr:colOff>
          <xdr:row>2</xdr:row>
          <xdr:rowOff>48986</xdr:rowOff>
        </xdr:from>
        <xdr:to>
          <xdr:col>2</xdr:col>
          <xdr:colOff>2514600</xdr:colOff>
          <xdr:row>2</xdr:row>
          <xdr:rowOff>381000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1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zh-CN" altLang="en-US" sz="1100" b="1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输出卡片内容到 MD 文档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48986</xdr:colOff>
          <xdr:row>2</xdr:row>
          <xdr:rowOff>21771</xdr:rowOff>
        </xdr:from>
        <xdr:to>
          <xdr:col>3</xdr:col>
          <xdr:colOff>1698171</xdr:colOff>
          <xdr:row>2</xdr:row>
          <xdr:rowOff>353786</xdr:rowOff>
        </xdr:to>
        <xdr:sp macro="" textlink="">
          <xdr:nvSpPr>
            <xdr:cNvPr id="3076" name="btnBrowse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1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选择保存路径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76200</xdr:colOff>
          <xdr:row>2</xdr:row>
          <xdr:rowOff>48986</xdr:rowOff>
        </xdr:from>
        <xdr:to>
          <xdr:col>1</xdr:col>
          <xdr:colOff>457200</xdr:colOff>
          <xdr:row>2</xdr:row>
          <xdr:rowOff>381000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2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zh-CN" altLang="en-US" sz="1100" b="1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清除当前输入项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560614</xdr:colOff>
          <xdr:row>2</xdr:row>
          <xdr:rowOff>48986</xdr:rowOff>
        </xdr:from>
        <xdr:to>
          <xdr:col>1</xdr:col>
          <xdr:colOff>2209800</xdr:colOff>
          <xdr:row>2</xdr:row>
          <xdr:rowOff>381000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2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zh-CN" altLang="en-US" sz="1100" b="1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清除所有输入项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2313214</xdr:colOff>
          <xdr:row>2</xdr:row>
          <xdr:rowOff>48986</xdr:rowOff>
        </xdr:from>
        <xdr:to>
          <xdr:col>2</xdr:col>
          <xdr:colOff>2514600</xdr:colOff>
          <xdr:row>2</xdr:row>
          <xdr:rowOff>381000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2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zh-CN" altLang="en-US" sz="1100" b="1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输出卡片内容到 MD 文档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48986</xdr:colOff>
          <xdr:row>2</xdr:row>
          <xdr:rowOff>21771</xdr:rowOff>
        </xdr:from>
        <xdr:to>
          <xdr:col>3</xdr:col>
          <xdr:colOff>1698171</xdr:colOff>
          <xdr:row>2</xdr:row>
          <xdr:rowOff>353786</xdr:rowOff>
        </xdr:to>
        <xdr:sp macro="" textlink="">
          <xdr:nvSpPr>
            <xdr:cNvPr id="4100" name="btnBrowse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2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选择保存路径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Aptos Narrow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6" Type="http://schemas.openxmlformats.org/officeDocument/2006/relationships/ctrlProp" Target="../ctrlProps/ctrlProp8.xml"/><Relationship Id="rId5" Type="http://schemas.openxmlformats.org/officeDocument/2006/relationships/ctrlProp" Target="../ctrlProps/ctrlProp7.xml"/><Relationship Id="rId4" Type="http://schemas.openxmlformats.org/officeDocument/2006/relationships/ctrlProp" Target="../ctrlProps/ctrlProp6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9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12.xml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:I63"/>
  <sheetViews>
    <sheetView workbookViewId="0">
      <pane ySplit="4" topLeftCell="A58" activePane="bottomLeft" state="frozenSplit"/>
      <selection pane="bottomLeft" activeCell="C60" sqref="C60"/>
    </sheetView>
  </sheetViews>
  <sheetFormatPr defaultColWidth="9" defaultRowHeight="14.15"/>
  <cols>
    <col min="1" max="1" width="16.640625" customWidth="1"/>
    <col min="2" max="2" width="30.640625" customWidth="1"/>
    <col min="3" max="3" width="84.35546875" customWidth="1"/>
    <col min="4" max="4" width="55.640625" customWidth="1"/>
    <col min="5" max="5" width="26.640625" hidden="1" customWidth="1"/>
    <col min="6" max="6" width="12.640625" hidden="1" customWidth="1"/>
    <col min="7" max="7" width="26.640625" customWidth="1"/>
    <col min="8" max="8" width="30.640625" customWidth="1"/>
    <col min="9" max="9" width="36.640625" customWidth="1"/>
  </cols>
  <sheetData>
    <row r="1" spans="1:9" ht="28" customHeight="1">
      <c r="A1" s="20" t="s">
        <v>0</v>
      </c>
      <c r="B1" s="21"/>
      <c r="C1" s="21"/>
      <c r="D1" s="21"/>
    </row>
    <row r="2" spans="1:9" ht="22" customHeight="1">
      <c r="A2" s="2" t="s">
        <v>1</v>
      </c>
      <c r="B2" s="3" t="str">
        <f>IF(C5="","(请先填写 id 字段)",C5&amp;".md")</f>
        <v>PLT-1200.md</v>
      </c>
      <c r="C2" s="22" t="s">
        <v>2</v>
      </c>
      <c r="D2" s="22"/>
    </row>
    <row r="3" spans="1:9" ht="36" customHeight="1"/>
    <row r="4" spans="1:9">
      <c r="A4" s="4" t="s">
        <v>3</v>
      </c>
      <c r="B4" s="4" t="s">
        <v>4</v>
      </c>
      <c r="C4" s="4" t="s">
        <v>5</v>
      </c>
      <c r="D4" s="4" t="s">
        <v>6</v>
      </c>
      <c r="E4" s="4" t="s">
        <v>7</v>
      </c>
      <c r="F4" s="4" t="s">
        <v>8</v>
      </c>
      <c r="G4" t="s">
        <v>9</v>
      </c>
      <c r="H4" t="s">
        <v>10</v>
      </c>
      <c r="I4" t="s">
        <v>11</v>
      </c>
    </row>
    <row r="5" spans="1:9">
      <c r="A5" s="5" t="s">
        <v>12</v>
      </c>
      <c r="B5" t="s">
        <v>13</v>
      </c>
      <c r="C5" s="6" t="s">
        <v>14</v>
      </c>
      <c r="D5" s="7" t="s">
        <v>15</v>
      </c>
      <c r="E5" t="s">
        <v>16</v>
      </c>
      <c r="F5" t="s">
        <v>17</v>
      </c>
      <c r="G5" t="s">
        <v>18</v>
      </c>
      <c r="H5" t="s">
        <v>16</v>
      </c>
    </row>
    <row r="6" spans="1:9">
      <c r="B6" t="s">
        <v>19</v>
      </c>
      <c r="C6" s="8" t="s">
        <v>20</v>
      </c>
      <c r="D6" s="7" t="s">
        <v>21</v>
      </c>
      <c r="E6" t="s">
        <v>22</v>
      </c>
      <c r="F6" t="s">
        <v>17</v>
      </c>
      <c r="G6" t="s">
        <v>18</v>
      </c>
      <c r="H6" t="s">
        <v>23</v>
      </c>
    </row>
    <row r="7" spans="1:9">
      <c r="B7" t="s">
        <v>24</v>
      </c>
      <c r="C7" s="6" t="s">
        <v>25</v>
      </c>
      <c r="D7" s="7" t="s">
        <v>26</v>
      </c>
      <c r="E7" t="s">
        <v>27</v>
      </c>
      <c r="F7" t="s">
        <v>17</v>
      </c>
      <c r="G7" t="s">
        <v>18</v>
      </c>
      <c r="H7" t="s">
        <v>27</v>
      </c>
    </row>
    <row r="8" spans="1:9">
      <c r="B8" t="s">
        <v>28</v>
      </c>
      <c r="C8" s="6" t="s">
        <v>29</v>
      </c>
      <c r="D8" s="7" t="s">
        <v>30</v>
      </c>
      <c r="E8" t="s">
        <v>31</v>
      </c>
      <c r="F8" t="s">
        <v>17</v>
      </c>
      <c r="G8" t="s">
        <v>18</v>
      </c>
      <c r="H8" t="s">
        <v>31</v>
      </c>
    </row>
    <row r="9" spans="1:9">
      <c r="B9" t="s">
        <v>32</v>
      </c>
      <c r="C9" s="6" t="s">
        <v>33</v>
      </c>
      <c r="D9" s="7" t="s">
        <v>34</v>
      </c>
      <c r="E9" t="s">
        <v>35</v>
      </c>
      <c r="F9" t="s">
        <v>36</v>
      </c>
      <c r="G9" t="s">
        <v>18</v>
      </c>
      <c r="H9" t="s">
        <v>35</v>
      </c>
    </row>
    <row r="10" spans="1:9">
      <c r="B10" t="s">
        <v>37</v>
      </c>
      <c r="C10" s="6" t="s">
        <v>38</v>
      </c>
      <c r="D10" s="7" t="s">
        <v>39</v>
      </c>
      <c r="E10" t="s">
        <v>40</v>
      </c>
      <c r="F10" t="s">
        <v>41</v>
      </c>
      <c r="G10" t="s">
        <v>18</v>
      </c>
      <c r="H10" t="s">
        <v>40</v>
      </c>
    </row>
    <row r="11" spans="1:9">
      <c r="B11" t="s">
        <v>42</v>
      </c>
      <c r="C11" s="6" t="s">
        <v>43</v>
      </c>
      <c r="D11" s="7" t="s">
        <v>44</v>
      </c>
      <c r="E11" t="s">
        <v>45</v>
      </c>
      <c r="F11" t="s">
        <v>17</v>
      </c>
      <c r="G11" t="s">
        <v>18</v>
      </c>
      <c r="H11" t="s">
        <v>45</v>
      </c>
    </row>
    <row r="12" spans="1:9">
      <c r="A12" s="5" t="s">
        <v>46</v>
      </c>
      <c r="B12" t="s">
        <v>47</v>
      </c>
      <c r="C12" s="9">
        <v>1200</v>
      </c>
      <c r="D12" s="7"/>
      <c r="E12" t="s">
        <v>48</v>
      </c>
      <c r="F12" t="s">
        <v>49</v>
      </c>
      <c r="G12" t="s">
        <v>50</v>
      </c>
      <c r="H12" t="s">
        <v>51</v>
      </c>
    </row>
    <row r="13" spans="1:9">
      <c r="B13" t="s">
        <v>52</v>
      </c>
      <c r="C13" s="9">
        <v>850</v>
      </c>
      <c r="D13" s="7"/>
      <c r="E13" t="s">
        <v>53</v>
      </c>
      <c r="F13" t="s">
        <v>49</v>
      </c>
      <c r="G13" t="s">
        <v>50</v>
      </c>
      <c r="H13" t="s">
        <v>54</v>
      </c>
    </row>
    <row r="14" spans="1:9">
      <c r="B14" t="s">
        <v>55</v>
      </c>
      <c r="C14" s="9">
        <v>2055</v>
      </c>
      <c r="D14" s="7"/>
      <c r="E14" t="s">
        <v>56</v>
      </c>
      <c r="F14" t="s">
        <v>49</v>
      </c>
      <c r="G14" t="s">
        <v>50</v>
      </c>
      <c r="H14" t="s">
        <v>57</v>
      </c>
    </row>
    <row r="15" spans="1:9">
      <c r="B15" t="s">
        <v>58</v>
      </c>
      <c r="C15" s="9">
        <v>210</v>
      </c>
      <c r="D15" s="7" t="s">
        <v>44</v>
      </c>
      <c r="E15" t="s">
        <v>59</v>
      </c>
      <c r="F15" t="s">
        <v>60</v>
      </c>
      <c r="G15" t="s">
        <v>50</v>
      </c>
      <c r="H15" t="s">
        <v>59</v>
      </c>
    </row>
    <row r="16" spans="1:9">
      <c r="B16" t="s">
        <v>61</v>
      </c>
      <c r="C16" s="9">
        <v>1.02</v>
      </c>
      <c r="D16" s="7" t="s">
        <v>44</v>
      </c>
      <c r="E16" t="s">
        <v>62</v>
      </c>
      <c r="F16" t="s">
        <v>60</v>
      </c>
      <c r="G16" t="s">
        <v>50</v>
      </c>
      <c r="H16" t="s">
        <v>62</v>
      </c>
    </row>
    <row r="17" spans="1:8">
      <c r="A17" s="5" t="s">
        <v>63</v>
      </c>
      <c r="B17" t="s">
        <v>64</v>
      </c>
      <c r="C17" s="9">
        <v>6</v>
      </c>
      <c r="D17" s="7" t="s">
        <v>65</v>
      </c>
      <c r="E17" t="s">
        <v>66</v>
      </c>
      <c r="F17" t="s">
        <v>49</v>
      </c>
      <c r="G17" t="s">
        <v>67</v>
      </c>
      <c r="H17" t="s">
        <v>66</v>
      </c>
    </row>
    <row r="18" spans="1:8">
      <c r="A18" s="10"/>
      <c r="B18" t="s">
        <v>68</v>
      </c>
      <c r="C18" s="9">
        <v>180</v>
      </c>
      <c r="D18" s="7"/>
      <c r="G18" t="s">
        <v>67</v>
      </c>
      <c r="H18" t="s">
        <v>69</v>
      </c>
    </row>
    <row r="19" spans="1:8">
      <c r="A19" s="10"/>
      <c r="B19" t="s">
        <v>70</v>
      </c>
      <c r="C19" s="9">
        <v>450</v>
      </c>
      <c r="D19" s="7"/>
      <c r="G19" t="s">
        <v>67</v>
      </c>
      <c r="H19" t="s">
        <v>71</v>
      </c>
    </row>
    <row r="20" spans="1:8">
      <c r="A20" s="10"/>
      <c r="B20" t="s">
        <v>72</v>
      </c>
      <c r="C20" s="9">
        <v>600</v>
      </c>
      <c r="D20" s="7"/>
      <c r="G20" t="s">
        <v>67</v>
      </c>
      <c r="H20" t="s">
        <v>73</v>
      </c>
    </row>
    <row r="21" spans="1:8">
      <c r="A21" s="10"/>
      <c r="B21" t="s">
        <v>74</v>
      </c>
      <c r="C21" s="9" t="s">
        <v>75</v>
      </c>
      <c r="D21" s="7"/>
      <c r="G21" t="s">
        <v>67</v>
      </c>
      <c r="H21" t="s">
        <v>76</v>
      </c>
    </row>
    <row r="22" spans="1:8">
      <c r="A22" s="10"/>
      <c r="C22" s="9" t="s">
        <v>77</v>
      </c>
      <c r="D22" s="7"/>
      <c r="G22" t="s">
        <v>78</v>
      </c>
      <c r="H22" t="s">
        <v>78</v>
      </c>
    </row>
    <row r="23" spans="1:8">
      <c r="A23" s="10"/>
      <c r="C23" s="9" t="s">
        <v>79</v>
      </c>
      <c r="D23" s="7"/>
      <c r="G23" t="s">
        <v>78</v>
      </c>
      <c r="H23" t="s">
        <v>78</v>
      </c>
    </row>
    <row r="24" spans="1:8">
      <c r="A24" s="10"/>
      <c r="C24" s="9" t="s">
        <v>80</v>
      </c>
      <c r="D24" s="7"/>
      <c r="G24" t="s">
        <v>78</v>
      </c>
      <c r="H24" t="s">
        <v>78</v>
      </c>
    </row>
    <row r="25" spans="1:8">
      <c r="A25" s="10"/>
      <c r="C25" s="9" t="s">
        <v>81</v>
      </c>
      <c r="D25" s="7"/>
      <c r="G25" t="s">
        <v>78</v>
      </c>
      <c r="H25" t="s">
        <v>78</v>
      </c>
    </row>
    <row r="26" spans="1:8">
      <c r="A26" s="11"/>
      <c r="B26" t="s">
        <v>82</v>
      </c>
      <c r="C26" s="9">
        <v>8</v>
      </c>
      <c r="D26" s="7" t="s">
        <v>83</v>
      </c>
      <c r="E26" t="s">
        <v>84</v>
      </c>
      <c r="F26" t="s">
        <v>49</v>
      </c>
      <c r="G26" t="s">
        <v>67</v>
      </c>
      <c r="H26" t="s">
        <v>84</v>
      </c>
    </row>
    <row r="27" spans="1:8">
      <c r="B27" t="s">
        <v>85</v>
      </c>
      <c r="C27" s="9">
        <v>130</v>
      </c>
      <c r="D27" s="7"/>
      <c r="E27" t="s">
        <v>86</v>
      </c>
      <c r="F27" t="s">
        <v>49</v>
      </c>
      <c r="G27" t="s">
        <v>67</v>
      </c>
      <c r="H27" t="s">
        <v>87</v>
      </c>
    </row>
    <row r="28" spans="1:8">
      <c r="B28" t="s">
        <v>88</v>
      </c>
      <c r="C28" s="9">
        <v>250</v>
      </c>
      <c r="D28" s="7"/>
      <c r="E28" t="s">
        <v>89</v>
      </c>
      <c r="F28" t="s">
        <v>49</v>
      </c>
      <c r="G28" t="s">
        <v>67</v>
      </c>
      <c r="H28" t="s">
        <v>90</v>
      </c>
    </row>
    <row r="29" spans="1:8">
      <c r="B29" t="s">
        <v>91</v>
      </c>
      <c r="C29" s="9">
        <v>150</v>
      </c>
      <c r="D29" s="7"/>
      <c r="G29" t="s">
        <v>67</v>
      </c>
      <c r="H29" t="s">
        <v>92</v>
      </c>
    </row>
    <row r="30" spans="1:8">
      <c r="B30" t="s">
        <v>93</v>
      </c>
      <c r="C30" s="9" t="s">
        <v>94</v>
      </c>
      <c r="D30" s="7"/>
      <c r="G30" t="s">
        <v>67</v>
      </c>
      <c r="H30" t="s">
        <v>95</v>
      </c>
    </row>
    <row r="31" spans="1:8">
      <c r="C31" s="9" t="s">
        <v>96</v>
      </c>
      <c r="D31" s="7"/>
      <c r="G31" t="s">
        <v>78</v>
      </c>
      <c r="H31" t="s">
        <v>78</v>
      </c>
    </row>
    <row r="32" spans="1:8">
      <c r="C32" s="9" t="s">
        <v>97</v>
      </c>
      <c r="D32" s="7"/>
      <c r="G32" t="s">
        <v>78</v>
      </c>
      <c r="H32" t="s">
        <v>78</v>
      </c>
    </row>
    <row r="33" spans="1:8">
      <c r="C33" s="9" t="s">
        <v>98</v>
      </c>
      <c r="D33" s="7"/>
      <c r="G33" t="s">
        <v>78</v>
      </c>
      <c r="H33" t="s">
        <v>78</v>
      </c>
    </row>
    <row r="34" spans="1:8" ht="16" customHeight="1">
      <c r="C34" s="9" t="s">
        <v>81</v>
      </c>
      <c r="D34" s="7"/>
      <c r="G34" t="s">
        <v>78</v>
      </c>
      <c r="H34" t="s">
        <v>78</v>
      </c>
    </row>
    <row r="35" spans="1:8" ht="26.15" customHeight="1">
      <c r="B35" t="s">
        <v>99</v>
      </c>
      <c r="C35" s="6" t="s">
        <v>100</v>
      </c>
      <c r="D35" s="7" t="s">
        <v>101</v>
      </c>
      <c r="E35" t="s">
        <v>102</v>
      </c>
      <c r="F35" t="s">
        <v>17</v>
      </c>
      <c r="G35" t="s">
        <v>67</v>
      </c>
      <c r="H35" t="s">
        <v>102</v>
      </c>
    </row>
    <row r="36" spans="1:8" ht="139" customHeight="1">
      <c r="A36" s="5" t="s">
        <v>103</v>
      </c>
      <c r="B36" t="s">
        <v>104</v>
      </c>
      <c r="C36" s="12" t="s">
        <v>105</v>
      </c>
      <c r="D36" s="7" t="s">
        <v>106</v>
      </c>
      <c r="E36" t="s">
        <v>107</v>
      </c>
      <c r="F36" t="s">
        <v>108</v>
      </c>
      <c r="G36" t="s">
        <v>109</v>
      </c>
      <c r="H36" t="s">
        <v>107</v>
      </c>
    </row>
    <row r="37" spans="1:8" ht="42" customHeight="1">
      <c r="B37" t="s">
        <v>110</v>
      </c>
      <c r="C37" s="8" t="s">
        <v>111</v>
      </c>
      <c r="D37" s="7" t="s">
        <v>112</v>
      </c>
      <c r="E37" t="s">
        <v>113</v>
      </c>
      <c r="F37" t="s">
        <v>114</v>
      </c>
      <c r="G37" t="s">
        <v>109</v>
      </c>
      <c r="H37" t="s">
        <v>113</v>
      </c>
    </row>
    <row r="38" spans="1:8" ht="153" customHeight="1">
      <c r="B38" s="13" t="s">
        <v>115</v>
      </c>
      <c r="C38" s="12" t="s">
        <v>116</v>
      </c>
      <c r="D38" s="7" t="s">
        <v>117</v>
      </c>
      <c r="E38" t="s">
        <v>118</v>
      </c>
      <c r="F38" t="s">
        <v>108</v>
      </c>
      <c r="G38" t="s">
        <v>109</v>
      </c>
      <c r="H38" t="s">
        <v>118</v>
      </c>
    </row>
    <row r="39" spans="1:8" ht="79" customHeight="1">
      <c r="B39" t="s">
        <v>119</v>
      </c>
      <c r="C39" s="12" t="s">
        <v>120</v>
      </c>
      <c r="D39" s="7" t="s">
        <v>121</v>
      </c>
      <c r="E39" t="s">
        <v>122</v>
      </c>
      <c r="F39" t="s">
        <v>108</v>
      </c>
      <c r="G39" t="s">
        <v>109</v>
      </c>
      <c r="H39" t="s">
        <v>122</v>
      </c>
    </row>
    <row r="40" spans="1:8">
      <c r="A40" s="5" t="s">
        <v>123</v>
      </c>
      <c r="B40" t="s">
        <v>124</v>
      </c>
      <c r="C40" s="9">
        <v>1260</v>
      </c>
      <c r="D40" s="7"/>
      <c r="E40" t="s">
        <v>125</v>
      </c>
      <c r="F40" t="s">
        <v>60</v>
      </c>
      <c r="G40" t="s">
        <v>126</v>
      </c>
      <c r="H40" t="s">
        <v>125</v>
      </c>
    </row>
    <row r="41" spans="1:8">
      <c r="B41" t="s">
        <v>127</v>
      </c>
      <c r="C41" s="9">
        <v>1260</v>
      </c>
      <c r="D41" s="7"/>
      <c r="E41" t="s">
        <v>128</v>
      </c>
      <c r="F41" t="s">
        <v>60</v>
      </c>
      <c r="G41" t="s">
        <v>126</v>
      </c>
      <c r="H41" t="s">
        <v>128</v>
      </c>
    </row>
    <row r="42" spans="1:8">
      <c r="B42" t="s">
        <v>129</v>
      </c>
      <c r="C42" s="9">
        <v>220</v>
      </c>
      <c r="D42" s="7" t="s">
        <v>44</v>
      </c>
      <c r="E42" t="s">
        <v>130</v>
      </c>
      <c r="F42" t="s">
        <v>49</v>
      </c>
      <c r="G42" t="s">
        <v>126</v>
      </c>
      <c r="H42" t="s">
        <v>130</v>
      </c>
    </row>
    <row r="43" spans="1:8">
      <c r="B43" t="s">
        <v>131</v>
      </c>
      <c r="C43" s="6" t="s">
        <v>132</v>
      </c>
      <c r="D43" s="7"/>
      <c r="E43" t="s">
        <v>133</v>
      </c>
      <c r="F43" t="s">
        <v>134</v>
      </c>
      <c r="G43" t="s">
        <v>126</v>
      </c>
      <c r="H43" t="s">
        <v>133</v>
      </c>
    </row>
    <row r="44" spans="1:8">
      <c r="B44" t="s">
        <v>135</v>
      </c>
      <c r="C44" s="6" t="s">
        <v>136</v>
      </c>
      <c r="D44" s="7"/>
      <c r="E44" t="s">
        <v>137</v>
      </c>
      <c r="F44" t="s">
        <v>134</v>
      </c>
      <c r="G44" t="s">
        <v>126</v>
      </c>
      <c r="H44" t="s">
        <v>137</v>
      </c>
    </row>
    <row r="45" spans="1:8">
      <c r="B45" t="s">
        <v>138</v>
      </c>
      <c r="C45" s="9">
        <v>15</v>
      </c>
      <c r="D45" s="7" t="s">
        <v>44</v>
      </c>
      <c r="E45" t="s">
        <v>139</v>
      </c>
      <c r="F45" t="s">
        <v>49</v>
      </c>
      <c r="G45" t="s">
        <v>126</v>
      </c>
      <c r="H45" t="s">
        <v>140</v>
      </c>
    </row>
    <row r="46" spans="1:8">
      <c r="B46" t="s">
        <v>141</v>
      </c>
      <c r="C46" s="9">
        <v>30</v>
      </c>
      <c r="D46" s="7" t="s">
        <v>44</v>
      </c>
      <c r="E46" t="s">
        <v>142</v>
      </c>
      <c r="F46" t="s">
        <v>49</v>
      </c>
      <c r="G46" t="s">
        <v>126</v>
      </c>
      <c r="H46" t="s">
        <v>143</v>
      </c>
    </row>
    <row r="47" spans="1:8">
      <c r="A47" s="5" t="s">
        <v>144</v>
      </c>
      <c r="B47" t="s">
        <v>145</v>
      </c>
      <c r="C47" s="9">
        <v>6</v>
      </c>
      <c r="D47" s="7" t="s">
        <v>146</v>
      </c>
      <c r="E47" t="s">
        <v>147</v>
      </c>
      <c r="F47" t="s">
        <v>49</v>
      </c>
      <c r="G47" t="s">
        <v>148</v>
      </c>
      <c r="H47" t="s">
        <v>149</v>
      </c>
    </row>
    <row r="48" spans="1:8" ht="60" customHeight="1">
      <c r="B48" t="s">
        <v>150</v>
      </c>
      <c r="C48" s="14" t="s">
        <v>151</v>
      </c>
      <c r="D48" s="7" t="s">
        <v>152</v>
      </c>
      <c r="E48" t="s">
        <v>153</v>
      </c>
      <c r="F48" t="s">
        <v>154</v>
      </c>
      <c r="G48" t="s">
        <v>148</v>
      </c>
      <c r="H48" t="s">
        <v>155</v>
      </c>
    </row>
    <row r="49" spans="1:9" ht="60" customHeight="1">
      <c r="B49" t="s">
        <v>156</v>
      </c>
      <c r="C49" s="14" t="s">
        <v>157</v>
      </c>
      <c r="D49" s="7" t="s">
        <v>158</v>
      </c>
      <c r="E49" t="s">
        <v>159</v>
      </c>
      <c r="F49" t="s">
        <v>154</v>
      </c>
      <c r="G49" t="s">
        <v>148</v>
      </c>
      <c r="H49" t="s">
        <v>160</v>
      </c>
    </row>
    <row r="50" spans="1:9">
      <c r="A50" s="5" t="s">
        <v>161</v>
      </c>
      <c r="B50" s="13" t="s">
        <v>162</v>
      </c>
      <c r="C50" s="9"/>
      <c r="D50" s="7" t="s">
        <v>163</v>
      </c>
      <c r="E50" t="s">
        <v>164</v>
      </c>
      <c r="F50" t="s">
        <v>49</v>
      </c>
      <c r="G50" t="s">
        <v>165</v>
      </c>
      <c r="H50" t="s">
        <v>166</v>
      </c>
    </row>
    <row r="51" spans="1:9">
      <c r="A51" s="5"/>
      <c r="B51" s="13" t="s">
        <v>167</v>
      </c>
      <c r="C51" s="9"/>
      <c r="D51" s="7" t="s">
        <v>163</v>
      </c>
      <c r="G51" t="s">
        <v>165</v>
      </c>
      <c r="H51" t="s">
        <v>168</v>
      </c>
    </row>
    <row r="52" spans="1:9">
      <c r="A52" s="5"/>
      <c r="B52" s="13" t="s">
        <v>169</v>
      </c>
      <c r="C52" s="9"/>
      <c r="D52" s="7" t="s">
        <v>163</v>
      </c>
      <c r="G52" t="s">
        <v>165</v>
      </c>
      <c r="H52" t="s">
        <v>170</v>
      </c>
    </row>
    <row r="53" spans="1:9">
      <c r="A53" t="s">
        <v>171</v>
      </c>
      <c r="B53" t="s">
        <v>172</v>
      </c>
      <c r="C53" s="9">
        <v>8</v>
      </c>
      <c r="D53" s="7"/>
      <c r="E53" t="s">
        <v>173</v>
      </c>
      <c r="F53" t="s">
        <v>49</v>
      </c>
      <c r="G53" t="s">
        <v>174</v>
      </c>
      <c r="H53" t="s">
        <v>173</v>
      </c>
    </row>
    <row r="54" spans="1:9">
      <c r="A54" t="s">
        <v>175</v>
      </c>
      <c r="B54" t="s">
        <v>176</v>
      </c>
      <c r="C54" s="9">
        <v>12</v>
      </c>
      <c r="D54" s="7"/>
      <c r="G54" t="s">
        <v>174</v>
      </c>
      <c r="H54" t="s">
        <v>177</v>
      </c>
    </row>
    <row r="55" spans="1:9">
      <c r="A55" s="5" t="s">
        <v>178</v>
      </c>
      <c r="B55" t="s">
        <v>179</v>
      </c>
      <c r="C55" s="6" t="s">
        <v>180</v>
      </c>
      <c r="D55" s="7" t="s">
        <v>181</v>
      </c>
      <c r="E55" t="s">
        <v>182</v>
      </c>
      <c r="F55" t="s">
        <v>183</v>
      </c>
      <c r="G55" t="s">
        <v>184</v>
      </c>
      <c r="H55" t="s">
        <v>182</v>
      </c>
    </row>
    <row r="56" spans="1:9" ht="100" customHeight="1">
      <c r="A56" s="5" t="s">
        <v>185</v>
      </c>
      <c r="B56" t="s">
        <v>186</v>
      </c>
      <c r="C56" s="12" t="s">
        <v>187</v>
      </c>
      <c r="D56" s="7" t="s">
        <v>188</v>
      </c>
      <c r="E56" t="s">
        <v>189</v>
      </c>
      <c r="F56" t="s">
        <v>190</v>
      </c>
      <c r="G56" t="s">
        <v>190</v>
      </c>
      <c r="H56" t="s">
        <v>191</v>
      </c>
      <c r="I56" t="s">
        <v>192</v>
      </c>
    </row>
    <row r="57" spans="1:9" ht="30" customHeight="1">
      <c r="A57" s="15" t="s">
        <v>193</v>
      </c>
      <c r="B57" t="s">
        <v>194</v>
      </c>
      <c r="C57" s="12" t="s">
        <v>195</v>
      </c>
      <c r="D57" s="7"/>
      <c r="G57" t="s">
        <v>196</v>
      </c>
      <c r="H57" t="s">
        <v>197</v>
      </c>
    </row>
    <row r="58" spans="1:9" ht="30" customHeight="1">
      <c r="A58" s="15" t="s">
        <v>198</v>
      </c>
      <c r="B58" t="s">
        <v>199</v>
      </c>
      <c r="C58" s="12" t="s">
        <v>200</v>
      </c>
      <c r="D58" s="7"/>
      <c r="G58" t="s">
        <v>196</v>
      </c>
      <c r="H58" t="s">
        <v>201</v>
      </c>
    </row>
    <row r="59" spans="1:9" ht="30" customHeight="1">
      <c r="A59" s="15" t="s">
        <v>202</v>
      </c>
      <c r="B59" t="s">
        <v>203</v>
      </c>
      <c r="C59" s="12" t="s">
        <v>204</v>
      </c>
      <c r="D59" s="7"/>
      <c r="G59" t="s">
        <v>196</v>
      </c>
      <c r="H59" t="s">
        <v>205</v>
      </c>
    </row>
    <row r="60" spans="1:9" ht="100" customHeight="1">
      <c r="A60" t="s">
        <v>206</v>
      </c>
      <c r="B60" t="s">
        <v>207</v>
      </c>
      <c r="C60" s="16" t="s">
        <v>208</v>
      </c>
      <c r="D60" s="7" t="s">
        <v>209</v>
      </c>
      <c r="E60" t="s">
        <v>210</v>
      </c>
      <c r="F60" t="s">
        <v>190</v>
      </c>
      <c r="G60" t="s">
        <v>190</v>
      </c>
      <c r="H60" t="s">
        <v>211</v>
      </c>
      <c r="I60" t="s">
        <v>212</v>
      </c>
    </row>
    <row r="61" spans="1:9" ht="100" customHeight="1">
      <c r="A61" t="s">
        <v>213</v>
      </c>
      <c r="B61" t="s">
        <v>213</v>
      </c>
      <c r="C61" s="19" t="s">
        <v>214</v>
      </c>
      <c r="D61" s="7" t="s">
        <v>215</v>
      </c>
      <c r="E61" t="s">
        <v>216</v>
      </c>
      <c r="F61" t="s">
        <v>190</v>
      </c>
      <c r="G61" t="s">
        <v>190</v>
      </c>
      <c r="H61" t="s">
        <v>217</v>
      </c>
      <c r="I61" t="s">
        <v>218</v>
      </c>
    </row>
    <row r="62" spans="1:9" ht="100" customHeight="1">
      <c r="A62" t="s">
        <v>219</v>
      </c>
      <c r="B62" t="s">
        <v>219</v>
      </c>
      <c r="C62" s="17" t="s">
        <v>220</v>
      </c>
      <c r="D62" s="7" t="s">
        <v>221</v>
      </c>
      <c r="E62" t="s">
        <v>222</v>
      </c>
      <c r="F62" t="s">
        <v>190</v>
      </c>
      <c r="G62" t="s">
        <v>190</v>
      </c>
      <c r="H62" t="s">
        <v>223</v>
      </c>
      <c r="I62" t="s">
        <v>224</v>
      </c>
    </row>
    <row r="63" spans="1:9">
      <c r="C63" s="18"/>
    </row>
  </sheetData>
  <mergeCells count="2">
    <mergeCell ref="A1:D1"/>
    <mergeCell ref="C2:D2"/>
  </mergeCells>
  <phoneticPr fontId="13" type="noConversion"/>
  <dataValidations count="2">
    <dataValidation type="list" allowBlank="1" showInputMessage="1" showErrorMessage="1" sqref="C9" xr:uid="{00000000-0002-0000-0000-000000000000}">
      <formula1>"draft,active,deprecated"</formula1>
    </dataValidation>
    <dataValidation type="list" allowBlank="1" showInputMessage="1" showErrorMessage="1" sqref="C43:C44" xr:uid="{00000000-0002-0000-0000-000001000000}">
      <formula1>"true,false"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Pict="0" macro="[0]!ClearCurrentInput">
                <anchor moveWithCells="1" sizeWithCells="1">
                  <from>
                    <xdr:col>0</xdr:col>
                    <xdr:colOff>76200</xdr:colOff>
                    <xdr:row>2</xdr:row>
                    <xdr:rowOff>48986</xdr:rowOff>
                  </from>
                  <to>
                    <xdr:col>1</xdr:col>
                    <xdr:colOff>457200</xdr:colOff>
                    <xdr:row>2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Button 2">
              <controlPr defaultSize="0" print="0" autoPict="0" macro="[0]!ClearAllInputs">
                <anchor moveWithCells="1" sizeWithCells="1">
                  <from>
                    <xdr:col>1</xdr:col>
                    <xdr:colOff>560614</xdr:colOff>
                    <xdr:row>2</xdr:row>
                    <xdr:rowOff>48986</xdr:rowOff>
                  </from>
                  <to>
                    <xdr:col>1</xdr:col>
                    <xdr:colOff>2209800</xdr:colOff>
                    <xdr:row>2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" name="Button 3">
              <controlPr defaultSize="0" print="0" autoPict="0" macro="[0]!ExportToMD">
                <anchor moveWithCells="1" sizeWithCells="1">
                  <from>
                    <xdr:col>1</xdr:col>
                    <xdr:colOff>2313214</xdr:colOff>
                    <xdr:row>2</xdr:row>
                    <xdr:rowOff>48986</xdr:rowOff>
                  </from>
                  <to>
                    <xdr:col>2</xdr:col>
                    <xdr:colOff>2514600</xdr:colOff>
                    <xdr:row>2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6" name="btnBrowse">
              <controlPr defaultSize="0" print="0" autoPict="0" macro="[0]!BrowseOutputDir">
                <anchor moveWithCells="1" sizeWithCells="1">
                  <from>
                    <xdr:col>3</xdr:col>
                    <xdr:colOff>48986</xdr:colOff>
                    <xdr:row>2</xdr:row>
                    <xdr:rowOff>21771</xdr:rowOff>
                  </from>
                  <to>
                    <xdr:col>3</xdr:col>
                    <xdr:colOff>1698171</xdr:colOff>
                    <xdr:row>2</xdr:row>
                    <xdr:rowOff>353786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I63"/>
  <sheetViews>
    <sheetView workbookViewId="0">
      <pane ySplit="4" topLeftCell="A5" activePane="bottomLeft" state="frozenSplit"/>
      <selection pane="bottomLeft" activeCell="C15" sqref="C15"/>
    </sheetView>
  </sheetViews>
  <sheetFormatPr defaultColWidth="9" defaultRowHeight="14.15"/>
  <cols>
    <col min="1" max="1" width="16.640625" customWidth="1"/>
    <col min="2" max="2" width="30.640625" customWidth="1"/>
    <col min="3" max="3" width="84.35546875" customWidth="1"/>
    <col min="4" max="4" width="55.640625" customWidth="1"/>
    <col min="5" max="5" width="26.640625" hidden="1" customWidth="1"/>
    <col min="6" max="6" width="12.640625" hidden="1" customWidth="1"/>
    <col min="7" max="7" width="26.640625" customWidth="1"/>
    <col min="8" max="8" width="30.640625" customWidth="1"/>
    <col min="9" max="9" width="36.640625" customWidth="1"/>
  </cols>
  <sheetData>
    <row r="1" spans="1:9" ht="28" customHeight="1">
      <c r="A1" s="20" t="s">
        <v>0</v>
      </c>
      <c r="B1" s="21"/>
      <c r="C1" s="21"/>
      <c r="D1" s="21"/>
    </row>
    <row r="2" spans="1:9" ht="22" customHeight="1">
      <c r="A2" s="2" t="s">
        <v>1</v>
      </c>
      <c r="B2" s="3" t="str">
        <f>IF(C5="","(请先填写 id 字段)",C5&amp;".md")</f>
        <v>PLT-800.md</v>
      </c>
      <c r="C2" s="22" t="s">
        <v>2</v>
      </c>
      <c r="D2" s="22"/>
    </row>
    <row r="3" spans="1:9" ht="36" customHeight="1"/>
    <row r="4" spans="1:9">
      <c r="A4" s="4" t="s">
        <v>3</v>
      </c>
      <c r="B4" s="4" t="s">
        <v>4</v>
      </c>
      <c r="C4" s="4" t="s">
        <v>5</v>
      </c>
      <c r="D4" s="4" t="s">
        <v>6</v>
      </c>
      <c r="E4" s="4" t="s">
        <v>7</v>
      </c>
      <c r="F4" s="4" t="s">
        <v>8</v>
      </c>
      <c r="G4" t="s">
        <v>9</v>
      </c>
      <c r="H4" t="s">
        <v>10</v>
      </c>
      <c r="I4" t="s">
        <v>11</v>
      </c>
    </row>
    <row r="5" spans="1:9">
      <c r="A5" s="5" t="s">
        <v>12</v>
      </c>
      <c r="B5" t="s">
        <v>13</v>
      </c>
      <c r="C5" s="6" t="s">
        <v>225</v>
      </c>
      <c r="D5" s="7" t="s">
        <v>15</v>
      </c>
      <c r="E5" t="s">
        <v>16</v>
      </c>
      <c r="F5" t="s">
        <v>17</v>
      </c>
      <c r="G5" t="s">
        <v>18</v>
      </c>
      <c r="H5" t="s">
        <v>16</v>
      </c>
    </row>
    <row r="6" spans="1:9">
      <c r="B6" t="s">
        <v>19</v>
      </c>
      <c r="C6" s="8" t="s">
        <v>226</v>
      </c>
      <c r="D6" s="7" t="s">
        <v>21</v>
      </c>
      <c r="E6" t="s">
        <v>22</v>
      </c>
      <c r="F6" t="s">
        <v>17</v>
      </c>
      <c r="G6" t="s">
        <v>18</v>
      </c>
      <c r="H6" t="s">
        <v>23</v>
      </c>
    </row>
    <row r="7" spans="1:9">
      <c r="B7" t="s">
        <v>24</v>
      </c>
      <c r="C7" s="6" t="s">
        <v>227</v>
      </c>
      <c r="D7" s="7" t="s">
        <v>26</v>
      </c>
      <c r="E7" t="s">
        <v>27</v>
      </c>
      <c r="F7" t="s">
        <v>17</v>
      </c>
      <c r="G7" t="s">
        <v>18</v>
      </c>
      <c r="H7" t="s">
        <v>27</v>
      </c>
    </row>
    <row r="8" spans="1:9">
      <c r="B8" t="s">
        <v>28</v>
      </c>
      <c r="C8" s="6" t="s">
        <v>228</v>
      </c>
      <c r="D8" s="7" t="s">
        <v>30</v>
      </c>
      <c r="E8" t="s">
        <v>31</v>
      </c>
      <c r="F8" t="s">
        <v>17</v>
      </c>
      <c r="G8" t="s">
        <v>18</v>
      </c>
      <c r="H8" t="s">
        <v>31</v>
      </c>
    </row>
    <row r="9" spans="1:9">
      <c r="B9" t="s">
        <v>32</v>
      </c>
      <c r="C9" s="6" t="s">
        <v>33</v>
      </c>
      <c r="D9" s="7" t="s">
        <v>34</v>
      </c>
      <c r="E9" t="s">
        <v>35</v>
      </c>
      <c r="F9" t="s">
        <v>36</v>
      </c>
      <c r="G9" t="s">
        <v>18</v>
      </c>
      <c r="H9" t="s">
        <v>35</v>
      </c>
    </row>
    <row r="10" spans="1:9">
      <c r="B10" t="s">
        <v>37</v>
      </c>
      <c r="C10" s="6" t="s">
        <v>229</v>
      </c>
      <c r="D10" s="7" t="s">
        <v>39</v>
      </c>
      <c r="E10" t="s">
        <v>40</v>
      </c>
      <c r="F10" t="s">
        <v>41</v>
      </c>
      <c r="G10" t="s">
        <v>18</v>
      </c>
      <c r="H10" t="s">
        <v>40</v>
      </c>
    </row>
    <row r="11" spans="1:9">
      <c r="B11" t="s">
        <v>42</v>
      </c>
      <c r="C11" s="6" t="s">
        <v>43</v>
      </c>
      <c r="D11" s="7" t="s">
        <v>44</v>
      </c>
      <c r="E11" t="s">
        <v>45</v>
      </c>
      <c r="F11" t="s">
        <v>17</v>
      </c>
      <c r="G11" t="s">
        <v>18</v>
      </c>
      <c r="H11" t="s">
        <v>45</v>
      </c>
    </row>
    <row r="12" spans="1:9">
      <c r="A12" s="5" t="s">
        <v>46</v>
      </c>
      <c r="B12" t="s">
        <v>47</v>
      </c>
      <c r="C12" s="9">
        <v>800</v>
      </c>
      <c r="D12" s="7"/>
      <c r="E12" t="s">
        <v>48</v>
      </c>
      <c r="F12" t="s">
        <v>49</v>
      </c>
      <c r="G12" t="s">
        <v>50</v>
      </c>
      <c r="H12" t="s">
        <v>51</v>
      </c>
    </row>
    <row r="13" spans="1:9">
      <c r="B13" t="s">
        <v>52</v>
      </c>
      <c r="C13" s="9">
        <v>850</v>
      </c>
      <c r="D13" s="7"/>
      <c r="E13" t="s">
        <v>53</v>
      </c>
      <c r="F13" t="s">
        <v>49</v>
      </c>
      <c r="G13" t="s">
        <v>50</v>
      </c>
      <c r="H13" t="s">
        <v>54</v>
      </c>
    </row>
    <row r="14" spans="1:9">
      <c r="B14" t="s">
        <v>55</v>
      </c>
      <c r="C14" s="9">
        <v>2055</v>
      </c>
      <c r="D14" s="7"/>
      <c r="E14" t="s">
        <v>56</v>
      </c>
      <c r="F14" t="s">
        <v>49</v>
      </c>
      <c r="G14" t="s">
        <v>50</v>
      </c>
      <c r="H14" t="s">
        <v>57</v>
      </c>
    </row>
    <row r="15" spans="1:9">
      <c r="B15" t="s">
        <v>58</v>
      </c>
      <c r="C15" s="9">
        <v>175</v>
      </c>
      <c r="D15" s="7" t="s">
        <v>44</v>
      </c>
      <c r="E15" t="s">
        <v>59</v>
      </c>
      <c r="F15" t="s">
        <v>60</v>
      </c>
      <c r="G15" t="s">
        <v>50</v>
      </c>
      <c r="H15" t="s">
        <v>59</v>
      </c>
    </row>
    <row r="16" spans="1:9">
      <c r="B16" t="s">
        <v>61</v>
      </c>
      <c r="C16" s="9">
        <v>0.68</v>
      </c>
      <c r="D16" s="7" t="s">
        <v>44</v>
      </c>
      <c r="E16" t="s">
        <v>62</v>
      </c>
      <c r="F16" t="s">
        <v>60</v>
      </c>
      <c r="G16" t="s">
        <v>50</v>
      </c>
      <c r="H16" t="s">
        <v>62</v>
      </c>
    </row>
    <row r="17" spans="1:8">
      <c r="A17" s="5" t="s">
        <v>63</v>
      </c>
      <c r="B17" t="s">
        <v>64</v>
      </c>
      <c r="C17" s="9">
        <v>3</v>
      </c>
      <c r="D17" s="7" t="s">
        <v>65</v>
      </c>
      <c r="E17" t="s">
        <v>66</v>
      </c>
      <c r="F17" t="s">
        <v>49</v>
      </c>
      <c r="G17" t="s">
        <v>67</v>
      </c>
      <c r="H17" t="s">
        <v>66</v>
      </c>
    </row>
    <row r="18" spans="1:8">
      <c r="A18" s="10"/>
      <c r="B18" t="s">
        <v>68</v>
      </c>
      <c r="C18" s="9">
        <v>180</v>
      </c>
      <c r="D18" s="7"/>
      <c r="G18" t="s">
        <v>67</v>
      </c>
      <c r="H18" t="s">
        <v>69</v>
      </c>
    </row>
    <row r="19" spans="1:8">
      <c r="A19" s="10"/>
      <c r="B19" t="s">
        <v>70</v>
      </c>
      <c r="C19" s="9">
        <v>450</v>
      </c>
      <c r="D19" s="7"/>
      <c r="G19" t="s">
        <v>67</v>
      </c>
      <c r="H19" t="s">
        <v>71</v>
      </c>
    </row>
    <row r="20" spans="1:8">
      <c r="A20" s="10"/>
      <c r="B20" t="s">
        <v>72</v>
      </c>
      <c r="C20" s="9">
        <v>600</v>
      </c>
      <c r="D20" s="7"/>
      <c r="G20" t="s">
        <v>67</v>
      </c>
      <c r="H20" t="s">
        <v>73</v>
      </c>
    </row>
    <row r="21" spans="1:8">
      <c r="A21" s="10"/>
      <c r="B21" t="s">
        <v>74</v>
      </c>
      <c r="C21" s="9" t="s">
        <v>75</v>
      </c>
      <c r="D21" s="7"/>
      <c r="G21" t="s">
        <v>67</v>
      </c>
      <c r="H21" t="s">
        <v>76</v>
      </c>
    </row>
    <row r="22" spans="1:8">
      <c r="A22" s="10"/>
      <c r="C22" s="9" t="s">
        <v>77</v>
      </c>
      <c r="D22" s="7"/>
      <c r="G22" t="s">
        <v>78</v>
      </c>
      <c r="H22" t="s">
        <v>78</v>
      </c>
    </row>
    <row r="23" spans="1:8">
      <c r="A23" s="10"/>
      <c r="C23" s="9" t="s">
        <v>79</v>
      </c>
      <c r="D23" s="7"/>
      <c r="G23" t="s">
        <v>78</v>
      </c>
      <c r="H23" t="s">
        <v>78</v>
      </c>
    </row>
    <row r="24" spans="1:8">
      <c r="A24" s="10"/>
      <c r="C24" s="9" t="s">
        <v>80</v>
      </c>
      <c r="D24" s="7"/>
      <c r="G24" t="s">
        <v>78</v>
      </c>
      <c r="H24" t="s">
        <v>78</v>
      </c>
    </row>
    <row r="25" spans="1:8">
      <c r="A25" s="10"/>
      <c r="C25" s="9" t="s">
        <v>81</v>
      </c>
      <c r="D25" s="7"/>
      <c r="G25" t="s">
        <v>78</v>
      </c>
      <c r="H25" t="s">
        <v>78</v>
      </c>
    </row>
    <row r="26" spans="1:8">
      <c r="A26" s="11"/>
      <c r="B26" t="s">
        <v>82</v>
      </c>
      <c r="C26" s="9">
        <v>4</v>
      </c>
      <c r="D26" s="7" t="s">
        <v>83</v>
      </c>
      <c r="E26" t="s">
        <v>84</v>
      </c>
      <c r="F26" t="s">
        <v>49</v>
      </c>
      <c r="G26" t="s">
        <v>67</v>
      </c>
      <c r="H26" t="s">
        <v>84</v>
      </c>
    </row>
    <row r="27" spans="1:8">
      <c r="B27" t="s">
        <v>85</v>
      </c>
      <c r="C27" s="9">
        <v>130</v>
      </c>
      <c r="D27" s="7"/>
      <c r="E27" t="s">
        <v>86</v>
      </c>
      <c r="F27" t="s">
        <v>49</v>
      </c>
      <c r="G27" t="s">
        <v>67</v>
      </c>
      <c r="H27" t="s">
        <v>87</v>
      </c>
    </row>
    <row r="28" spans="1:8">
      <c r="B28" t="s">
        <v>88</v>
      </c>
      <c r="C28" s="9">
        <v>250</v>
      </c>
      <c r="D28" s="7"/>
      <c r="E28" t="s">
        <v>89</v>
      </c>
      <c r="F28" t="s">
        <v>49</v>
      </c>
      <c r="G28" t="s">
        <v>67</v>
      </c>
      <c r="H28" t="s">
        <v>90</v>
      </c>
    </row>
    <row r="29" spans="1:8">
      <c r="B29" t="s">
        <v>91</v>
      </c>
      <c r="C29" s="9">
        <v>150</v>
      </c>
      <c r="D29" s="7"/>
      <c r="G29" t="s">
        <v>67</v>
      </c>
      <c r="H29" t="s">
        <v>92</v>
      </c>
    </row>
    <row r="30" spans="1:8">
      <c r="B30" t="s">
        <v>93</v>
      </c>
      <c r="C30" s="9" t="s">
        <v>94</v>
      </c>
      <c r="D30" s="7"/>
      <c r="G30" t="s">
        <v>67</v>
      </c>
      <c r="H30" t="s">
        <v>95</v>
      </c>
    </row>
    <row r="31" spans="1:8">
      <c r="C31" s="9" t="s">
        <v>96</v>
      </c>
      <c r="D31" s="7"/>
      <c r="G31" t="s">
        <v>78</v>
      </c>
      <c r="H31" t="s">
        <v>78</v>
      </c>
    </row>
    <row r="32" spans="1:8">
      <c r="C32" s="9" t="s">
        <v>97</v>
      </c>
      <c r="D32" s="7"/>
      <c r="G32" t="s">
        <v>78</v>
      </c>
      <c r="H32" t="s">
        <v>78</v>
      </c>
    </row>
    <row r="33" spans="1:8">
      <c r="C33" s="9" t="s">
        <v>98</v>
      </c>
      <c r="D33" s="7"/>
      <c r="G33" t="s">
        <v>78</v>
      </c>
      <c r="H33" t="s">
        <v>78</v>
      </c>
    </row>
    <row r="34" spans="1:8" ht="16" customHeight="1">
      <c r="C34" s="9" t="s">
        <v>81</v>
      </c>
      <c r="D34" s="7"/>
      <c r="G34" t="s">
        <v>78</v>
      </c>
      <c r="H34" t="s">
        <v>78</v>
      </c>
    </row>
    <row r="35" spans="1:8" ht="26.15" customHeight="1">
      <c r="B35" t="s">
        <v>99</v>
      </c>
      <c r="C35" s="6" t="s">
        <v>230</v>
      </c>
      <c r="D35" s="7" t="s">
        <v>101</v>
      </c>
      <c r="E35" t="s">
        <v>102</v>
      </c>
      <c r="F35" t="s">
        <v>17</v>
      </c>
      <c r="G35" t="s">
        <v>67</v>
      </c>
      <c r="H35" t="s">
        <v>102</v>
      </c>
    </row>
    <row r="36" spans="1:8" ht="139" customHeight="1">
      <c r="A36" s="5" t="s">
        <v>103</v>
      </c>
      <c r="B36" t="s">
        <v>104</v>
      </c>
      <c r="C36" s="12" t="s">
        <v>105</v>
      </c>
      <c r="D36" s="7" t="s">
        <v>106</v>
      </c>
      <c r="E36" t="s">
        <v>107</v>
      </c>
      <c r="F36" t="s">
        <v>108</v>
      </c>
      <c r="G36" t="s">
        <v>109</v>
      </c>
      <c r="H36" t="s">
        <v>107</v>
      </c>
    </row>
    <row r="37" spans="1:8" ht="42" customHeight="1">
      <c r="B37" t="s">
        <v>110</v>
      </c>
      <c r="C37" s="8" t="s">
        <v>111</v>
      </c>
      <c r="D37" s="7" t="s">
        <v>112</v>
      </c>
      <c r="E37" t="s">
        <v>113</v>
      </c>
      <c r="F37" t="s">
        <v>114</v>
      </c>
      <c r="G37" t="s">
        <v>109</v>
      </c>
      <c r="H37" t="s">
        <v>113</v>
      </c>
    </row>
    <row r="38" spans="1:8" ht="153" customHeight="1">
      <c r="B38" s="13" t="s">
        <v>115</v>
      </c>
      <c r="C38" s="12" t="s">
        <v>116</v>
      </c>
      <c r="D38" s="7" t="s">
        <v>117</v>
      </c>
      <c r="E38" t="s">
        <v>118</v>
      </c>
      <c r="F38" t="s">
        <v>108</v>
      </c>
      <c r="G38" t="s">
        <v>109</v>
      </c>
      <c r="H38" t="s">
        <v>118</v>
      </c>
    </row>
    <row r="39" spans="1:8" ht="79" customHeight="1">
      <c r="B39" t="s">
        <v>119</v>
      </c>
      <c r="C39" s="12" t="s">
        <v>120</v>
      </c>
      <c r="D39" s="7" t="s">
        <v>121</v>
      </c>
      <c r="E39" t="s">
        <v>122</v>
      </c>
      <c r="F39" t="s">
        <v>108</v>
      </c>
      <c r="G39" t="s">
        <v>109</v>
      </c>
      <c r="H39" t="s">
        <v>122</v>
      </c>
    </row>
    <row r="40" spans="1:8">
      <c r="A40" s="5" t="s">
        <v>123</v>
      </c>
      <c r="B40" t="s">
        <v>124</v>
      </c>
      <c r="C40" s="9">
        <v>1260</v>
      </c>
      <c r="D40" s="7"/>
      <c r="E40" t="s">
        <v>125</v>
      </c>
      <c r="F40" t="s">
        <v>60</v>
      </c>
      <c r="G40" t="s">
        <v>126</v>
      </c>
      <c r="H40" t="s">
        <v>125</v>
      </c>
    </row>
    <row r="41" spans="1:8">
      <c r="B41" t="s">
        <v>127</v>
      </c>
      <c r="C41" s="9">
        <v>1260</v>
      </c>
      <c r="D41" s="7"/>
      <c r="E41" t="s">
        <v>128</v>
      </c>
      <c r="F41" t="s">
        <v>60</v>
      </c>
      <c r="G41" t="s">
        <v>126</v>
      </c>
      <c r="H41" t="s">
        <v>128</v>
      </c>
    </row>
    <row r="42" spans="1:8">
      <c r="B42" t="s">
        <v>129</v>
      </c>
      <c r="C42" s="9">
        <v>220</v>
      </c>
      <c r="D42" s="7" t="s">
        <v>44</v>
      </c>
      <c r="E42" t="s">
        <v>130</v>
      </c>
      <c r="F42" t="s">
        <v>49</v>
      </c>
      <c r="G42" t="s">
        <v>126</v>
      </c>
      <c r="H42" t="s">
        <v>130</v>
      </c>
    </row>
    <row r="43" spans="1:8">
      <c r="B43" t="s">
        <v>131</v>
      </c>
      <c r="C43" s="6" t="s">
        <v>132</v>
      </c>
      <c r="D43" s="7"/>
      <c r="E43" t="s">
        <v>133</v>
      </c>
      <c r="F43" t="s">
        <v>134</v>
      </c>
      <c r="G43" t="s">
        <v>126</v>
      </c>
      <c r="H43" t="s">
        <v>133</v>
      </c>
    </row>
    <row r="44" spans="1:8">
      <c r="B44" t="s">
        <v>135</v>
      </c>
      <c r="C44" s="6" t="s">
        <v>136</v>
      </c>
      <c r="D44" s="7"/>
      <c r="E44" t="s">
        <v>137</v>
      </c>
      <c r="F44" t="s">
        <v>134</v>
      </c>
      <c r="G44" t="s">
        <v>126</v>
      </c>
      <c r="H44" t="s">
        <v>137</v>
      </c>
    </row>
    <row r="45" spans="1:8">
      <c r="B45" t="s">
        <v>138</v>
      </c>
      <c r="C45" s="9">
        <v>15</v>
      </c>
      <c r="D45" s="7" t="s">
        <v>44</v>
      </c>
      <c r="E45" t="s">
        <v>139</v>
      </c>
      <c r="F45" t="s">
        <v>49</v>
      </c>
      <c r="G45" t="s">
        <v>126</v>
      </c>
      <c r="H45" t="s">
        <v>140</v>
      </c>
    </row>
    <row r="46" spans="1:8">
      <c r="B46" t="s">
        <v>141</v>
      </c>
      <c r="C46" s="9">
        <v>30</v>
      </c>
      <c r="D46" s="7" t="s">
        <v>44</v>
      </c>
      <c r="E46" t="s">
        <v>142</v>
      </c>
      <c r="F46" t="s">
        <v>49</v>
      </c>
      <c r="G46" t="s">
        <v>126</v>
      </c>
      <c r="H46" t="s">
        <v>143</v>
      </c>
    </row>
    <row r="47" spans="1:8">
      <c r="A47" s="5" t="s">
        <v>144</v>
      </c>
      <c r="B47" t="s">
        <v>145</v>
      </c>
      <c r="C47" s="9">
        <v>3</v>
      </c>
      <c r="D47" s="7" t="s">
        <v>146</v>
      </c>
      <c r="E47" t="s">
        <v>147</v>
      </c>
      <c r="F47" t="s">
        <v>49</v>
      </c>
      <c r="G47" t="s">
        <v>148</v>
      </c>
      <c r="H47" t="s">
        <v>149</v>
      </c>
    </row>
    <row r="48" spans="1:8" ht="60" customHeight="1">
      <c r="B48" t="s">
        <v>150</v>
      </c>
      <c r="C48" s="14" t="s">
        <v>151</v>
      </c>
      <c r="D48" s="7" t="s">
        <v>152</v>
      </c>
      <c r="E48" t="s">
        <v>153</v>
      </c>
      <c r="F48" t="s">
        <v>154</v>
      </c>
      <c r="G48" t="s">
        <v>148</v>
      </c>
      <c r="H48" t="s">
        <v>155</v>
      </c>
    </row>
    <row r="49" spans="1:9" ht="60" customHeight="1">
      <c r="B49" t="s">
        <v>156</v>
      </c>
      <c r="C49" s="14" t="s">
        <v>157</v>
      </c>
      <c r="D49" s="7" t="s">
        <v>158</v>
      </c>
      <c r="E49" t="s">
        <v>159</v>
      </c>
      <c r="F49" t="s">
        <v>154</v>
      </c>
      <c r="G49" t="s">
        <v>148</v>
      </c>
      <c r="H49" t="s">
        <v>160</v>
      </c>
    </row>
    <row r="50" spans="1:9">
      <c r="A50" s="5" t="s">
        <v>161</v>
      </c>
      <c r="B50" s="13" t="s">
        <v>162</v>
      </c>
      <c r="C50" s="9"/>
      <c r="D50" s="7" t="s">
        <v>163</v>
      </c>
      <c r="E50" t="s">
        <v>164</v>
      </c>
      <c r="F50" t="s">
        <v>49</v>
      </c>
      <c r="G50" t="s">
        <v>165</v>
      </c>
      <c r="H50" t="s">
        <v>166</v>
      </c>
    </row>
    <row r="51" spans="1:9">
      <c r="A51" s="5"/>
      <c r="B51" s="13" t="s">
        <v>167</v>
      </c>
      <c r="C51" s="9"/>
      <c r="D51" s="7" t="s">
        <v>163</v>
      </c>
      <c r="G51" t="s">
        <v>165</v>
      </c>
      <c r="H51" t="s">
        <v>168</v>
      </c>
    </row>
    <row r="52" spans="1:9">
      <c r="A52" s="5"/>
      <c r="B52" s="13" t="s">
        <v>169</v>
      </c>
      <c r="C52" s="9"/>
      <c r="D52" s="7" t="s">
        <v>163</v>
      </c>
      <c r="G52" t="s">
        <v>165</v>
      </c>
      <c r="H52" t="s">
        <v>170</v>
      </c>
    </row>
    <row r="53" spans="1:9">
      <c r="A53" t="s">
        <v>171</v>
      </c>
      <c r="B53" t="s">
        <v>172</v>
      </c>
      <c r="C53" s="9">
        <v>8</v>
      </c>
      <c r="D53" s="7"/>
      <c r="E53" t="s">
        <v>173</v>
      </c>
      <c r="F53" t="s">
        <v>49</v>
      </c>
      <c r="G53" t="s">
        <v>174</v>
      </c>
      <c r="H53" t="s">
        <v>173</v>
      </c>
    </row>
    <row r="54" spans="1:9">
      <c r="A54" t="s">
        <v>175</v>
      </c>
      <c r="B54" t="s">
        <v>176</v>
      </c>
      <c r="C54" s="9">
        <v>12</v>
      </c>
      <c r="D54" s="7"/>
      <c r="G54" t="s">
        <v>174</v>
      </c>
      <c r="H54" t="s">
        <v>177</v>
      </c>
    </row>
    <row r="55" spans="1:9">
      <c r="A55" s="5" t="s">
        <v>178</v>
      </c>
      <c r="B55" t="s">
        <v>179</v>
      </c>
      <c r="C55" s="6" t="s">
        <v>180</v>
      </c>
      <c r="D55" s="7" t="s">
        <v>181</v>
      </c>
      <c r="E55" t="s">
        <v>182</v>
      </c>
      <c r="F55" t="s">
        <v>183</v>
      </c>
      <c r="G55" t="s">
        <v>184</v>
      </c>
      <c r="H55" t="s">
        <v>182</v>
      </c>
    </row>
    <row r="56" spans="1:9" ht="100" customHeight="1">
      <c r="A56" s="5" t="s">
        <v>185</v>
      </c>
      <c r="B56" t="s">
        <v>186</v>
      </c>
      <c r="C56" s="12" t="s">
        <v>231</v>
      </c>
      <c r="D56" s="7" t="s">
        <v>188</v>
      </c>
      <c r="E56" t="s">
        <v>189</v>
      </c>
      <c r="F56" t="s">
        <v>190</v>
      </c>
      <c r="G56" t="s">
        <v>190</v>
      </c>
      <c r="H56" t="s">
        <v>191</v>
      </c>
      <c r="I56" t="s">
        <v>192</v>
      </c>
    </row>
    <row r="57" spans="1:9" ht="30" customHeight="1">
      <c r="A57" s="15" t="s">
        <v>193</v>
      </c>
      <c r="B57" t="s">
        <v>194</v>
      </c>
      <c r="C57" s="12" t="s">
        <v>195</v>
      </c>
      <c r="D57" s="7"/>
      <c r="G57" t="s">
        <v>196</v>
      </c>
      <c r="H57" t="s">
        <v>197</v>
      </c>
    </row>
    <row r="58" spans="1:9" ht="30" customHeight="1">
      <c r="A58" s="15" t="s">
        <v>198</v>
      </c>
      <c r="B58" t="s">
        <v>199</v>
      </c>
      <c r="C58" s="12" t="s">
        <v>200</v>
      </c>
      <c r="D58" s="7"/>
      <c r="G58" t="s">
        <v>196</v>
      </c>
      <c r="H58" t="s">
        <v>201</v>
      </c>
    </row>
    <row r="59" spans="1:9" ht="30" customHeight="1">
      <c r="A59" s="15" t="s">
        <v>202</v>
      </c>
      <c r="B59" t="s">
        <v>203</v>
      </c>
      <c r="C59" s="12" t="s">
        <v>204</v>
      </c>
      <c r="D59" s="7"/>
      <c r="G59" t="s">
        <v>196</v>
      </c>
      <c r="H59" t="s">
        <v>205</v>
      </c>
    </row>
    <row r="60" spans="1:9" ht="100" customHeight="1">
      <c r="A60" t="s">
        <v>206</v>
      </c>
      <c r="B60" t="s">
        <v>207</v>
      </c>
      <c r="C60" s="16" t="s">
        <v>232</v>
      </c>
      <c r="D60" s="7" t="s">
        <v>209</v>
      </c>
      <c r="E60" t="s">
        <v>210</v>
      </c>
      <c r="F60" t="s">
        <v>190</v>
      </c>
      <c r="G60" t="s">
        <v>190</v>
      </c>
      <c r="H60" t="s">
        <v>211</v>
      </c>
      <c r="I60" t="s">
        <v>212</v>
      </c>
    </row>
    <row r="61" spans="1:9" ht="100" customHeight="1">
      <c r="A61" t="s">
        <v>213</v>
      </c>
      <c r="B61" t="s">
        <v>213</v>
      </c>
      <c r="C61" s="16" t="s">
        <v>214</v>
      </c>
      <c r="D61" s="7" t="s">
        <v>215</v>
      </c>
      <c r="E61" t="s">
        <v>216</v>
      </c>
      <c r="F61" t="s">
        <v>190</v>
      </c>
      <c r="G61" t="s">
        <v>190</v>
      </c>
      <c r="H61" t="s">
        <v>217</v>
      </c>
      <c r="I61" t="s">
        <v>218</v>
      </c>
    </row>
    <row r="62" spans="1:9" ht="100" customHeight="1">
      <c r="A62" t="s">
        <v>219</v>
      </c>
      <c r="B62" t="s">
        <v>219</v>
      </c>
      <c r="C62" s="17" t="s">
        <v>220</v>
      </c>
      <c r="D62" s="7" t="s">
        <v>221</v>
      </c>
      <c r="E62" t="s">
        <v>222</v>
      </c>
      <c r="F62" t="s">
        <v>190</v>
      </c>
      <c r="G62" t="s">
        <v>190</v>
      </c>
      <c r="H62" t="s">
        <v>223</v>
      </c>
      <c r="I62" t="s">
        <v>224</v>
      </c>
    </row>
    <row r="63" spans="1:9">
      <c r="C63" s="18"/>
    </row>
  </sheetData>
  <mergeCells count="2">
    <mergeCell ref="A1:D1"/>
    <mergeCell ref="C2:D2"/>
  </mergeCells>
  <phoneticPr fontId="13" type="noConversion"/>
  <dataValidations count="2">
    <dataValidation type="list" allowBlank="1" showInputMessage="1" showErrorMessage="1" sqref="C9" xr:uid="{00000000-0002-0000-0100-000000000000}">
      <formula1>"draft,active,deprecated"</formula1>
    </dataValidation>
    <dataValidation type="list" allowBlank="1" showInputMessage="1" showErrorMessage="1" sqref="C43:C44" xr:uid="{00000000-0002-0000-0100-000001000000}">
      <formula1>"true,false"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Pict="0" macro="[0]!ClearCurrentInput">
                <anchor moveWithCells="1" sizeWithCells="1">
                  <from>
                    <xdr:col>0</xdr:col>
                    <xdr:colOff>76200</xdr:colOff>
                    <xdr:row>2</xdr:row>
                    <xdr:rowOff>48986</xdr:rowOff>
                  </from>
                  <to>
                    <xdr:col>1</xdr:col>
                    <xdr:colOff>457200</xdr:colOff>
                    <xdr:row>2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4" name="Button 2">
              <controlPr defaultSize="0" print="0" autoPict="0" macro="[0]!ClearAllInputs">
                <anchor moveWithCells="1" sizeWithCells="1">
                  <from>
                    <xdr:col>1</xdr:col>
                    <xdr:colOff>560614</xdr:colOff>
                    <xdr:row>2</xdr:row>
                    <xdr:rowOff>48986</xdr:rowOff>
                  </from>
                  <to>
                    <xdr:col>1</xdr:col>
                    <xdr:colOff>2209800</xdr:colOff>
                    <xdr:row>2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5" name="Button 3">
              <controlPr defaultSize="0" print="0" autoPict="0" macro="[0]!ExportToMD">
                <anchor moveWithCells="1" sizeWithCells="1">
                  <from>
                    <xdr:col>1</xdr:col>
                    <xdr:colOff>2313214</xdr:colOff>
                    <xdr:row>2</xdr:row>
                    <xdr:rowOff>48986</xdr:rowOff>
                  </from>
                  <to>
                    <xdr:col>2</xdr:col>
                    <xdr:colOff>2514600</xdr:colOff>
                    <xdr:row>2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6" name="btnBrowse">
              <controlPr defaultSize="0" print="0" autoPict="0" macro="[0]!BrowseOutputDir">
                <anchor moveWithCells="1" sizeWithCells="1">
                  <from>
                    <xdr:col>3</xdr:col>
                    <xdr:colOff>48986</xdr:colOff>
                    <xdr:row>2</xdr:row>
                    <xdr:rowOff>21771</xdr:rowOff>
                  </from>
                  <to>
                    <xdr:col>3</xdr:col>
                    <xdr:colOff>1698171</xdr:colOff>
                    <xdr:row>2</xdr:row>
                    <xdr:rowOff>353786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I63"/>
  <sheetViews>
    <sheetView tabSelected="1" workbookViewId="0">
      <pane ySplit="4" topLeftCell="A5" activePane="bottomLeft" state="frozenSplit"/>
      <selection pane="bottomLeft" activeCell="C12" sqref="C12"/>
    </sheetView>
  </sheetViews>
  <sheetFormatPr defaultColWidth="9" defaultRowHeight="14.15"/>
  <cols>
    <col min="1" max="1" width="16.640625" customWidth="1"/>
    <col min="2" max="2" width="30.640625" customWidth="1"/>
    <col min="3" max="3" width="84.35546875" customWidth="1"/>
    <col min="4" max="4" width="55.640625" customWidth="1"/>
    <col min="5" max="5" width="26.640625" hidden="1" customWidth="1"/>
    <col min="6" max="6" width="12.640625" hidden="1" customWidth="1"/>
    <col min="7" max="7" width="26.640625" customWidth="1"/>
    <col min="8" max="8" width="30.640625" customWidth="1"/>
    <col min="9" max="9" width="36.640625" customWidth="1"/>
  </cols>
  <sheetData>
    <row r="1" spans="1:9" ht="28" customHeight="1">
      <c r="A1" s="20" t="s">
        <v>0</v>
      </c>
      <c r="B1" s="21"/>
      <c r="C1" s="21"/>
      <c r="D1" s="21"/>
    </row>
    <row r="2" spans="1:9" ht="22" customHeight="1">
      <c r="A2" s="2" t="s">
        <v>1</v>
      </c>
      <c r="B2" s="3" t="str">
        <f>IF(C5="","(请先填写 id 字段)",C5&amp;".md")</f>
        <v>PLT-1400.md</v>
      </c>
      <c r="C2" s="22" t="s">
        <v>2</v>
      </c>
      <c r="D2" s="22"/>
    </row>
    <row r="3" spans="1:9" ht="36" customHeight="1"/>
    <row r="4" spans="1:9">
      <c r="A4" s="4" t="s">
        <v>3</v>
      </c>
      <c r="B4" s="4" t="s">
        <v>4</v>
      </c>
      <c r="C4" s="4" t="s">
        <v>5</v>
      </c>
      <c r="D4" s="4" t="s">
        <v>6</v>
      </c>
      <c r="E4" s="4" t="s">
        <v>7</v>
      </c>
      <c r="F4" s="4" t="s">
        <v>8</v>
      </c>
      <c r="G4" t="s">
        <v>9</v>
      </c>
      <c r="H4" t="s">
        <v>10</v>
      </c>
      <c r="I4" t="s">
        <v>11</v>
      </c>
    </row>
    <row r="5" spans="1:9">
      <c r="A5" s="5" t="s">
        <v>12</v>
      </c>
      <c r="B5" t="s">
        <v>13</v>
      </c>
      <c r="C5" s="6" t="s">
        <v>233</v>
      </c>
      <c r="D5" s="7" t="s">
        <v>15</v>
      </c>
      <c r="E5" t="s">
        <v>16</v>
      </c>
      <c r="F5" t="s">
        <v>17</v>
      </c>
      <c r="G5" t="s">
        <v>18</v>
      </c>
      <c r="H5" t="s">
        <v>16</v>
      </c>
    </row>
    <row r="6" spans="1:9">
      <c r="B6" t="s">
        <v>19</v>
      </c>
      <c r="C6" s="8" t="s">
        <v>234</v>
      </c>
      <c r="D6" s="7" t="s">
        <v>21</v>
      </c>
      <c r="E6" t="s">
        <v>22</v>
      </c>
      <c r="F6" t="s">
        <v>17</v>
      </c>
      <c r="G6" t="s">
        <v>18</v>
      </c>
      <c r="H6" t="s">
        <v>23</v>
      </c>
    </row>
    <row r="7" spans="1:9">
      <c r="B7" t="s">
        <v>24</v>
      </c>
      <c r="C7" s="6" t="s">
        <v>235</v>
      </c>
      <c r="D7" s="7" t="s">
        <v>26</v>
      </c>
      <c r="E7" t="s">
        <v>27</v>
      </c>
      <c r="F7" t="s">
        <v>17</v>
      </c>
      <c r="G7" t="s">
        <v>18</v>
      </c>
      <c r="H7" t="s">
        <v>27</v>
      </c>
    </row>
    <row r="8" spans="1:9">
      <c r="B8" t="s">
        <v>28</v>
      </c>
      <c r="C8" s="6" t="s">
        <v>228</v>
      </c>
      <c r="D8" s="7" t="s">
        <v>30</v>
      </c>
      <c r="E8" t="s">
        <v>31</v>
      </c>
      <c r="F8" t="s">
        <v>17</v>
      </c>
      <c r="G8" t="s">
        <v>18</v>
      </c>
      <c r="H8" t="s">
        <v>31</v>
      </c>
    </row>
    <row r="9" spans="1:9">
      <c r="B9" t="s">
        <v>32</v>
      </c>
      <c r="C9" s="6" t="s">
        <v>33</v>
      </c>
      <c r="D9" s="7" t="s">
        <v>34</v>
      </c>
      <c r="E9" t="s">
        <v>35</v>
      </c>
      <c r="F9" t="s">
        <v>36</v>
      </c>
      <c r="G9" t="s">
        <v>18</v>
      </c>
      <c r="H9" t="s">
        <v>35</v>
      </c>
    </row>
    <row r="10" spans="1:9">
      <c r="B10" t="s">
        <v>37</v>
      </c>
      <c r="C10" s="6" t="s">
        <v>229</v>
      </c>
      <c r="D10" s="7" t="s">
        <v>39</v>
      </c>
      <c r="E10" t="s">
        <v>40</v>
      </c>
      <c r="F10" t="s">
        <v>41</v>
      </c>
      <c r="G10" t="s">
        <v>18</v>
      </c>
      <c r="H10" t="s">
        <v>40</v>
      </c>
    </row>
    <row r="11" spans="1:9">
      <c r="B11" t="s">
        <v>42</v>
      </c>
      <c r="C11" s="6" t="s">
        <v>43</v>
      </c>
      <c r="D11" s="7" t="s">
        <v>44</v>
      </c>
      <c r="E11" t="s">
        <v>45</v>
      </c>
      <c r="F11" t="s">
        <v>17</v>
      </c>
      <c r="G11" t="s">
        <v>18</v>
      </c>
      <c r="H11" t="s">
        <v>45</v>
      </c>
    </row>
    <row r="12" spans="1:9">
      <c r="A12" s="5" t="s">
        <v>46</v>
      </c>
      <c r="B12" t="s">
        <v>47</v>
      </c>
      <c r="C12" s="9">
        <v>1400</v>
      </c>
      <c r="D12" s="7"/>
      <c r="E12" t="s">
        <v>48</v>
      </c>
      <c r="F12" t="s">
        <v>49</v>
      </c>
      <c r="G12" t="s">
        <v>50</v>
      </c>
      <c r="H12" t="s">
        <v>51</v>
      </c>
    </row>
    <row r="13" spans="1:9">
      <c r="B13" t="s">
        <v>52</v>
      </c>
      <c r="C13" s="9">
        <v>850</v>
      </c>
      <c r="D13" s="7"/>
      <c r="E13" t="s">
        <v>53</v>
      </c>
      <c r="F13" t="s">
        <v>49</v>
      </c>
      <c r="G13" t="s">
        <v>50</v>
      </c>
      <c r="H13" t="s">
        <v>54</v>
      </c>
    </row>
    <row r="14" spans="1:9">
      <c r="B14" t="s">
        <v>55</v>
      </c>
      <c r="C14" s="9">
        <v>2055</v>
      </c>
      <c r="D14" s="7"/>
      <c r="E14" t="s">
        <v>56</v>
      </c>
      <c r="F14" t="s">
        <v>49</v>
      </c>
      <c r="G14" t="s">
        <v>50</v>
      </c>
      <c r="H14" t="s">
        <v>57</v>
      </c>
    </row>
    <row r="15" spans="1:9">
      <c r="B15" t="s">
        <v>58</v>
      </c>
      <c r="C15" s="9">
        <v>210</v>
      </c>
      <c r="D15" s="7" t="s">
        <v>44</v>
      </c>
      <c r="E15" t="s">
        <v>59</v>
      </c>
      <c r="F15" t="s">
        <v>60</v>
      </c>
      <c r="G15" t="s">
        <v>50</v>
      </c>
      <c r="H15" t="s">
        <v>59</v>
      </c>
    </row>
    <row r="16" spans="1:9">
      <c r="B16" t="s">
        <v>61</v>
      </c>
      <c r="C16" s="9">
        <v>1.19</v>
      </c>
      <c r="D16" s="7" t="s">
        <v>44</v>
      </c>
      <c r="E16" t="s">
        <v>62</v>
      </c>
      <c r="F16" t="s">
        <v>60</v>
      </c>
      <c r="G16" t="s">
        <v>50</v>
      </c>
      <c r="H16" t="s">
        <v>62</v>
      </c>
    </row>
    <row r="17" spans="1:8">
      <c r="A17" s="5" t="s">
        <v>63</v>
      </c>
      <c r="B17" t="s">
        <v>64</v>
      </c>
      <c r="C17" s="9">
        <v>6</v>
      </c>
      <c r="D17" s="7" t="s">
        <v>65</v>
      </c>
      <c r="E17" t="s">
        <v>66</v>
      </c>
      <c r="F17" t="s">
        <v>49</v>
      </c>
      <c r="G17" t="s">
        <v>67</v>
      </c>
      <c r="H17" t="s">
        <v>66</v>
      </c>
    </row>
    <row r="18" spans="1:8">
      <c r="A18" s="10"/>
      <c r="B18" t="s">
        <v>68</v>
      </c>
      <c r="C18" s="9">
        <v>180</v>
      </c>
      <c r="D18" s="7"/>
      <c r="G18" t="s">
        <v>67</v>
      </c>
      <c r="H18" t="s">
        <v>69</v>
      </c>
    </row>
    <row r="19" spans="1:8">
      <c r="A19" s="10"/>
      <c r="B19" t="s">
        <v>70</v>
      </c>
      <c r="C19" s="9">
        <v>450</v>
      </c>
      <c r="D19" s="7"/>
      <c r="G19" t="s">
        <v>67</v>
      </c>
      <c r="H19" t="s">
        <v>71</v>
      </c>
    </row>
    <row r="20" spans="1:8">
      <c r="A20" s="10"/>
      <c r="B20" t="s">
        <v>72</v>
      </c>
      <c r="C20" s="9">
        <v>600</v>
      </c>
      <c r="D20" s="7"/>
      <c r="G20" t="s">
        <v>67</v>
      </c>
      <c r="H20" t="s">
        <v>73</v>
      </c>
    </row>
    <row r="21" spans="1:8">
      <c r="A21" s="10"/>
      <c r="B21" t="s">
        <v>74</v>
      </c>
      <c r="C21" s="9" t="s">
        <v>75</v>
      </c>
      <c r="D21" s="7"/>
      <c r="G21" t="s">
        <v>67</v>
      </c>
      <c r="H21" t="s">
        <v>76</v>
      </c>
    </row>
    <row r="22" spans="1:8">
      <c r="A22" s="10"/>
      <c r="C22" s="9" t="s">
        <v>77</v>
      </c>
      <c r="D22" s="7"/>
      <c r="G22" t="s">
        <v>78</v>
      </c>
      <c r="H22" t="s">
        <v>78</v>
      </c>
    </row>
    <row r="23" spans="1:8">
      <c r="A23" s="10"/>
      <c r="C23" s="9" t="s">
        <v>79</v>
      </c>
      <c r="D23" s="7"/>
      <c r="G23" t="s">
        <v>78</v>
      </c>
      <c r="H23" t="s">
        <v>78</v>
      </c>
    </row>
    <row r="24" spans="1:8">
      <c r="A24" s="10"/>
      <c r="C24" s="9" t="s">
        <v>80</v>
      </c>
      <c r="D24" s="7"/>
      <c r="G24" t="s">
        <v>78</v>
      </c>
      <c r="H24" t="s">
        <v>78</v>
      </c>
    </row>
    <row r="25" spans="1:8">
      <c r="A25" s="10"/>
      <c r="C25" s="9" t="s">
        <v>81</v>
      </c>
      <c r="D25" s="7"/>
      <c r="G25" t="s">
        <v>78</v>
      </c>
      <c r="H25" t="s">
        <v>78</v>
      </c>
    </row>
    <row r="26" spans="1:8">
      <c r="A26" s="11"/>
      <c r="B26" t="s">
        <v>82</v>
      </c>
      <c r="C26" s="9">
        <v>8</v>
      </c>
      <c r="D26" s="7" t="s">
        <v>83</v>
      </c>
      <c r="E26" t="s">
        <v>84</v>
      </c>
      <c r="F26" t="s">
        <v>49</v>
      </c>
      <c r="G26" t="s">
        <v>67</v>
      </c>
      <c r="H26" t="s">
        <v>84</v>
      </c>
    </row>
    <row r="27" spans="1:8">
      <c r="B27" t="s">
        <v>85</v>
      </c>
      <c r="C27" s="9">
        <v>130</v>
      </c>
      <c r="D27" s="7"/>
      <c r="E27" t="s">
        <v>86</v>
      </c>
      <c r="F27" t="s">
        <v>49</v>
      </c>
      <c r="G27" t="s">
        <v>67</v>
      </c>
      <c r="H27" t="s">
        <v>87</v>
      </c>
    </row>
    <row r="28" spans="1:8">
      <c r="B28" t="s">
        <v>88</v>
      </c>
      <c r="C28" s="9">
        <v>250</v>
      </c>
      <c r="D28" s="7"/>
      <c r="E28" t="s">
        <v>89</v>
      </c>
      <c r="F28" t="s">
        <v>49</v>
      </c>
      <c r="G28" t="s">
        <v>67</v>
      </c>
      <c r="H28" t="s">
        <v>90</v>
      </c>
    </row>
    <row r="29" spans="1:8">
      <c r="B29" t="s">
        <v>91</v>
      </c>
      <c r="C29" s="9">
        <v>150</v>
      </c>
      <c r="D29" s="7"/>
      <c r="G29" t="s">
        <v>67</v>
      </c>
      <c r="H29" t="s">
        <v>92</v>
      </c>
    </row>
    <row r="30" spans="1:8">
      <c r="B30" t="s">
        <v>93</v>
      </c>
      <c r="C30" s="9" t="s">
        <v>94</v>
      </c>
      <c r="D30" s="7"/>
      <c r="G30" t="s">
        <v>67</v>
      </c>
      <c r="H30" t="s">
        <v>95</v>
      </c>
    </row>
    <row r="31" spans="1:8">
      <c r="C31" s="9" t="s">
        <v>96</v>
      </c>
      <c r="D31" s="7"/>
      <c r="G31" t="s">
        <v>78</v>
      </c>
      <c r="H31" t="s">
        <v>78</v>
      </c>
    </row>
    <row r="32" spans="1:8">
      <c r="C32" s="9" t="s">
        <v>97</v>
      </c>
      <c r="D32" s="7"/>
      <c r="G32" t="s">
        <v>78</v>
      </c>
      <c r="H32" t="s">
        <v>78</v>
      </c>
    </row>
    <row r="33" spans="1:8">
      <c r="C33" s="9" t="s">
        <v>98</v>
      </c>
      <c r="D33" s="7"/>
      <c r="G33" t="s">
        <v>78</v>
      </c>
      <c r="H33" t="s">
        <v>78</v>
      </c>
    </row>
    <row r="34" spans="1:8" ht="16" customHeight="1">
      <c r="C34" s="9" t="s">
        <v>81</v>
      </c>
      <c r="D34" s="7"/>
      <c r="G34" t="s">
        <v>78</v>
      </c>
      <c r="H34" t="s">
        <v>78</v>
      </c>
    </row>
    <row r="35" spans="1:8" ht="26.15" customHeight="1">
      <c r="B35" t="s">
        <v>99</v>
      </c>
      <c r="C35" s="6" t="s">
        <v>236</v>
      </c>
      <c r="D35" s="7" t="s">
        <v>101</v>
      </c>
      <c r="E35" t="s">
        <v>102</v>
      </c>
      <c r="F35" t="s">
        <v>17</v>
      </c>
      <c r="G35" t="s">
        <v>67</v>
      </c>
      <c r="H35" t="s">
        <v>102</v>
      </c>
    </row>
    <row r="36" spans="1:8" ht="139" customHeight="1">
      <c r="A36" s="5" t="s">
        <v>103</v>
      </c>
      <c r="B36" t="s">
        <v>104</v>
      </c>
      <c r="C36" s="12" t="s">
        <v>105</v>
      </c>
      <c r="D36" s="7" t="s">
        <v>106</v>
      </c>
      <c r="E36" t="s">
        <v>107</v>
      </c>
      <c r="F36" t="s">
        <v>108</v>
      </c>
      <c r="G36" t="s">
        <v>109</v>
      </c>
      <c r="H36" t="s">
        <v>107</v>
      </c>
    </row>
    <row r="37" spans="1:8" ht="42" customHeight="1">
      <c r="B37" t="s">
        <v>110</v>
      </c>
      <c r="C37" s="8" t="s">
        <v>111</v>
      </c>
      <c r="D37" s="7" t="s">
        <v>112</v>
      </c>
      <c r="E37" t="s">
        <v>113</v>
      </c>
      <c r="F37" t="s">
        <v>114</v>
      </c>
      <c r="G37" t="s">
        <v>109</v>
      </c>
      <c r="H37" t="s">
        <v>113</v>
      </c>
    </row>
    <row r="38" spans="1:8" ht="153" customHeight="1">
      <c r="B38" s="13" t="s">
        <v>115</v>
      </c>
      <c r="C38" s="12" t="s">
        <v>116</v>
      </c>
      <c r="D38" s="7" t="s">
        <v>117</v>
      </c>
      <c r="E38" t="s">
        <v>118</v>
      </c>
      <c r="F38" t="s">
        <v>108</v>
      </c>
      <c r="G38" t="s">
        <v>109</v>
      </c>
      <c r="H38" t="s">
        <v>118</v>
      </c>
    </row>
    <row r="39" spans="1:8" ht="79" customHeight="1">
      <c r="B39" t="s">
        <v>119</v>
      </c>
      <c r="C39" s="12" t="s">
        <v>120</v>
      </c>
      <c r="D39" s="7" t="s">
        <v>121</v>
      </c>
      <c r="E39" t="s">
        <v>122</v>
      </c>
      <c r="F39" t="s">
        <v>108</v>
      </c>
      <c r="G39" t="s">
        <v>109</v>
      </c>
      <c r="H39" t="s">
        <v>122</v>
      </c>
    </row>
    <row r="40" spans="1:8">
      <c r="A40" s="5" t="s">
        <v>123</v>
      </c>
      <c r="B40" t="s">
        <v>124</v>
      </c>
      <c r="C40" s="9">
        <v>1260</v>
      </c>
      <c r="D40" s="7"/>
      <c r="E40" t="s">
        <v>125</v>
      </c>
      <c r="F40" t="s">
        <v>60</v>
      </c>
      <c r="G40" t="s">
        <v>126</v>
      </c>
      <c r="H40" t="s">
        <v>125</v>
      </c>
    </row>
    <row r="41" spans="1:8">
      <c r="B41" t="s">
        <v>127</v>
      </c>
      <c r="C41" s="9">
        <v>1260</v>
      </c>
      <c r="D41" s="7"/>
      <c r="E41" t="s">
        <v>128</v>
      </c>
      <c r="F41" t="s">
        <v>60</v>
      </c>
      <c r="G41" t="s">
        <v>126</v>
      </c>
      <c r="H41" t="s">
        <v>128</v>
      </c>
    </row>
    <row r="42" spans="1:8">
      <c r="B42" t="s">
        <v>129</v>
      </c>
      <c r="C42" s="9">
        <v>220</v>
      </c>
      <c r="D42" s="7" t="s">
        <v>44</v>
      </c>
      <c r="E42" t="s">
        <v>130</v>
      </c>
      <c r="F42" t="s">
        <v>49</v>
      </c>
      <c r="G42" t="s">
        <v>126</v>
      </c>
      <c r="H42" t="s">
        <v>130</v>
      </c>
    </row>
    <row r="43" spans="1:8">
      <c r="B43" t="s">
        <v>131</v>
      </c>
      <c r="C43" s="6" t="s">
        <v>132</v>
      </c>
      <c r="D43" s="7"/>
      <c r="E43" t="s">
        <v>133</v>
      </c>
      <c r="F43" t="s">
        <v>134</v>
      </c>
      <c r="G43" t="s">
        <v>126</v>
      </c>
      <c r="H43" t="s">
        <v>133</v>
      </c>
    </row>
    <row r="44" spans="1:8">
      <c r="B44" t="s">
        <v>135</v>
      </c>
      <c r="C44" s="6" t="s">
        <v>136</v>
      </c>
      <c r="D44" s="7"/>
      <c r="E44" t="s">
        <v>137</v>
      </c>
      <c r="F44" t="s">
        <v>134</v>
      </c>
      <c r="G44" t="s">
        <v>126</v>
      </c>
      <c r="H44" t="s">
        <v>137</v>
      </c>
    </row>
    <row r="45" spans="1:8">
      <c r="B45" t="s">
        <v>138</v>
      </c>
      <c r="C45" s="9">
        <v>15</v>
      </c>
      <c r="D45" s="7" t="s">
        <v>44</v>
      </c>
      <c r="E45" t="s">
        <v>139</v>
      </c>
      <c r="F45" t="s">
        <v>49</v>
      </c>
      <c r="G45" t="s">
        <v>126</v>
      </c>
      <c r="H45" t="s">
        <v>140</v>
      </c>
    </row>
    <row r="46" spans="1:8">
      <c r="B46" t="s">
        <v>141</v>
      </c>
      <c r="C46" s="9">
        <v>30</v>
      </c>
      <c r="D46" s="7" t="s">
        <v>44</v>
      </c>
      <c r="E46" t="s">
        <v>142</v>
      </c>
      <c r="F46" t="s">
        <v>49</v>
      </c>
      <c r="G46" t="s">
        <v>126</v>
      </c>
      <c r="H46" t="s">
        <v>143</v>
      </c>
    </row>
    <row r="47" spans="1:8">
      <c r="A47" s="5" t="s">
        <v>144</v>
      </c>
      <c r="B47" t="s">
        <v>145</v>
      </c>
      <c r="C47" s="9">
        <v>3</v>
      </c>
      <c r="D47" s="7" t="s">
        <v>146</v>
      </c>
      <c r="E47" t="s">
        <v>147</v>
      </c>
      <c r="F47" t="s">
        <v>49</v>
      </c>
      <c r="G47" t="s">
        <v>148</v>
      </c>
      <c r="H47" t="s">
        <v>149</v>
      </c>
    </row>
    <row r="48" spans="1:8" ht="60" customHeight="1">
      <c r="B48" t="s">
        <v>150</v>
      </c>
      <c r="C48" s="14" t="s">
        <v>151</v>
      </c>
      <c r="D48" s="7" t="s">
        <v>152</v>
      </c>
      <c r="E48" t="s">
        <v>153</v>
      </c>
      <c r="F48" t="s">
        <v>154</v>
      </c>
      <c r="G48" t="s">
        <v>148</v>
      </c>
      <c r="H48" t="s">
        <v>155</v>
      </c>
    </row>
    <row r="49" spans="1:9" ht="60" customHeight="1">
      <c r="B49" t="s">
        <v>156</v>
      </c>
      <c r="C49" s="14" t="s">
        <v>157</v>
      </c>
      <c r="D49" s="7" t="s">
        <v>158</v>
      </c>
      <c r="E49" t="s">
        <v>159</v>
      </c>
      <c r="F49" t="s">
        <v>154</v>
      </c>
      <c r="G49" t="s">
        <v>148</v>
      </c>
      <c r="H49" t="s">
        <v>160</v>
      </c>
    </row>
    <row r="50" spans="1:9">
      <c r="A50" s="5" t="s">
        <v>161</v>
      </c>
      <c r="B50" s="13" t="s">
        <v>162</v>
      </c>
      <c r="C50" s="9"/>
      <c r="D50" s="7" t="s">
        <v>163</v>
      </c>
      <c r="E50" t="s">
        <v>164</v>
      </c>
      <c r="F50" t="s">
        <v>49</v>
      </c>
      <c r="G50" t="s">
        <v>165</v>
      </c>
      <c r="H50" t="s">
        <v>166</v>
      </c>
    </row>
    <row r="51" spans="1:9">
      <c r="A51" s="5"/>
      <c r="B51" s="13" t="s">
        <v>167</v>
      </c>
      <c r="C51" s="9"/>
      <c r="D51" s="7" t="s">
        <v>163</v>
      </c>
      <c r="G51" t="s">
        <v>165</v>
      </c>
      <c r="H51" t="s">
        <v>168</v>
      </c>
    </row>
    <row r="52" spans="1:9">
      <c r="A52" s="5"/>
      <c r="B52" s="13" t="s">
        <v>169</v>
      </c>
      <c r="C52" s="9"/>
      <c r="D52" s="7" t="s">
        <v>163</v>
      </c>
      <c r="G52" t="s">
        <v>165</v>
      </c>
      <c r="H52" t="s">
        <v>170</v>
      </c>
    </row>
    <row r="53" spans="1:9">
      <c r="A53" t="s">
        <v>171</v>
      </c>
      <c r="B53" t="s">
        <v>172</v>
      </c>
      <c r="C53" s="9">
        <v>8</v>
      </c>
      <c r="D53" s="7"/>
      <c r="E53" t="s">
        <v>173</v>
      </c>
      <c r="F53" t="s">
        <v>49</v>
      </c>
      <c r="G53" t="s">
        <v>174</v>
      </c>
      <c r="H53" t="s">
        <v>173</v>
      </c>
    </row>
    <row r="54" spans="1:9">
      <c r="A54" t="s">
        <v>175</v>
      </c>
      <c r="B54" t="s">
        <v>176</v>
      </c>
      <c r="C54" s="9">
        <v>12</v>
      </c>
      <c r="D54" s="7"/>
      <c r="G54" t="s">
        <v>174</v>
      </c>
      <c r="H54" t="s">
        <v>177</v>
      </c>
    </row>
    <row r="55" spans="1:9">
      <c r="A55" s="5" t="s">
        <v>178</v>
      </c>
      <c r="B55" t="s">
        <v>179</v>
      </c>
      <c r="C55" s="6" t="s">
        <v>180</v>
      </c>
      <c r="D55" s="7" t="s">
        <v>181</v>
      </c>
      <c r="E55" t="s">
        <v>182</v>
      </c>
      <c r="F55" t="s">
        <v>183</v>
      </c>
      <c r="G55" t="s">
        <v>184</v>
      </c>
      <c r="H55" t="s">
        <v>182</v>
      </c>
    </row>
    <row r="56" spans="1:9" ht="100" customHeight="1">
      <c r="A56" s="5" t="s">
        <v>185</v>
      </c>
      <c r="B56" t="s">
        <v>186</v>
      </c>
      <c r="C56" s="12" t="s">
        <v>237</v>
      </c>
      <c r="D56" s="7" t="s">
        <v>188</v>
      </c>
      <c r="E56" t="s">
        <v>189</v>
      </c>
      <c r="F56" t="s">
        <v>190</v>
      </c>
      <c r="G56" t="s">
        <v>190</v>
      </c>
      <c r="H56" t="s">
        <v>191</v>
      </c>
      <c r="I56" t="s">
        <v>192</v>
      </c>
    </row>
    <row r="57" spans="1:9" ht="30" customHeight="1">
      <c r="A57" s="15" t="s">
        <v>193</v>
      </c>
      <c r="B57" t="s">
        <v>194</v>
      </c>
      <c r="C57" s="12" t="s">
        <v>195</v>
      </c>
      <c r="D57" s="7"/>
      <c r="G57" t="s">
        <v>196</v>
      </c>
      <c r="H57" t="s">
        <v>197</v>
      </c>
    </row>
    <row r="58" spans="1:9" ht="30" customHeight="1">
      <c r="A58" s="15" t="s">
        <v>198</v>
      </c>
      <c r="B58" t="s">
        <v>199</v>
      </c>
      <c r="C58" s="12" t="s">
        <v>200</v>
      </c>
      <c r="D58" s="7"/>
      <c r="G58" t="s">
        <v>196</v>
      </c>
      <c r="H58" t="s">
        <v>201</v>
      </c>
    </row>
    <row r="59" spans="1:9" ht="30" customHeight="1">
      <c r="A59" s="15" t="s">
        <v>202</v>
      </c>
      <c r="B59" t="s">
        <v>203</v>
      </c>
      <c r="C59" s="12" t="s">
        <v>204</v>
      </c>
      <c r="D59" s="7"/>
      <c r="G59" t="s">
        <v>196</v>
      </c>
      <c r="H59" t="s">
        <v>205</v>
      </c>
    </row>
    <row r="60" spans="1:9" ht="100" customHeight="1">
      <c r="A60" t="s">
        <v>206</v>
      </c>
      <c r="B60" t="s">
        <v>207</v>
      </c>
      <c r="C60" s="16" t="s">
        <v>238</v>
      </c>
      <c r="D60" s="7" t="s">
        <v>209</v>
      </c>
      <c r="E60" t="s">
        <v>210</v>
      </c>
      <c r="F60" t="s">
        <v>190</v>
      </c>
      <c r="G60" t="s">
        <v>190</v>
      </c>
      <c r="H60" t="s">
        <v>211</v>
      </c>
      <c r="I60" t="s">
        <v>212</v>
      </c>
    </row>
    <row r="61" spans="1:9" ht="100" customHeight="1">
      <c r="A61" t="s">
        <v>213</v>
      </c>
      <c r="B61" t="s">
        <v>213</v>
      </c>
      <c r="C61" s="16" t="s">
        <v>214</v>
      </c>
      <c r="D61" s="7" t="s">
        <v>215</v>
      </c>
      <c r="E61" t="s">
        <v>216</v>
      </c>
      <c r="F61" t="s">
        <v>190</v>
      </c>
      <c r="G61" t="s">
        <v>190</v>
      </c>
      <c r="H61" t="s">
        <v>217</v>
      </c>
      <c r="I61" t="s">
        <v>218</v>
      </c>
    </row>
    <row r="62" spans="1:9" ht="100" customHeight="1">
      <c r="A62" t="s">
        <v>219</v>
      </c>
      <c r="B62" t="s">
        <v>219</v>
      </c>
      <c r="C62" s="17" t="s">
        <v>220</v>
      </c>
      <c r="D62" s="7" t="s">
        <v>221</v>
      </c>
      <c r="E62" t="s">
        <v>222</v>
      </c>
      <c r="F62" t="s">
        <v>190</v>
      </c>
      <c r="G62" t="s">
        <v>190</v>
      </c>
      <c r="H62" t="s">
        <v>223</v>
      </c>
      <c r="I62" t="s">
        <v>224</v>
      </c>
    </row>
    <row r="63" spans="1:9">
      <c r="C63" s="18"/>
    </row>
  </sheetData>
  <mergeCells count="2">
    <mergeCell ref="A1:D1"/>
    <mergeCell ref="C2:D2"/>
  </mergeCells>
  <phoneticPr fontId="13" type="noConversion"/>
  <dataValidations count="2">
    <dataValidation type="list" allowBlank="1" showInputMessage="1" showErrorMessage="1" sqref="C9" xr:uid="{00000000-0002-0000-0200-000000000000}">
      <formula1>"draft,active,deprecated"</formula1>
    </dataValidation>
    <dataValidation type="list" allowBlank="1" showInputMessage="1" showErrorMessage="1" sqref="C43:C44" xr:uid="{00000000-0002-0000-0200-000001000000}">
      <formula1>"true,false"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Pict="0" macro="[0]!ClearCurrentInput">
                <anchor moveWithCells="1" sizeWithCells="1">
                  <from>
                    <xdr:col>0</xdr:col>
                    <xdr:colOff>76200</xdr:colOff>
                    <xdr:row>2</xdr:row>
                    <xdr:rowOff>48986</xdr:rowOff>
                  </from>
                  <to>
                    <xdr:col>1</xdr:col>
                    <xdr:colOff>457200</xdr:colOff>
                    <xdr:row>2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4" name="Button 2">
              <controlPr defaultSize="0" print="0" autoPict="0" macro="[0]!ClearAllInputs">
                <anchor moveWithCells="1" sizeWithCells="1">
                  <from>
                    <xdr:col>1</xdr:col>
                    <xdr:colOff>560614</xdr:colOff>
                    <xdr:row>2</xdr:row>
                    <xdr:rowOff>48986</xdr:rowOff>
                  </from>
                  <to>
                    <xdr:col>1</xdr:col>
                    <xdr:colOff>2209800</xdr:colOff>
                    <xdr:row>2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5" name="Button 3">
              <controlPr defaultSize="0" print="0" autoPict="0" macro="[0]!ExportToMD">
                <anchor moveWithCells="1" sizeWithCells="1">
                  <from>
                    <xdr:col>1</xdr:col>
                    <xdr:colOff>2313214</xdr:colOff>
                    <xdr:row>2</xdr:row>
                    <xdr:rowOff>48986</xdr:rowOff>
                  </from>
                  <to>
                    <xdr:col>2</xdr:col>
                    <xdr:colOff>2514600</xdr:colOff>
                    <xdr:row>2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" r:id="rId6" name="btnBrowse">
              <controlPr defaultSize="0" print="0" autoPict="0" macro="[0]!BrowseOutputDir">
                <anchor moveWithCells="1" sizeWithCells="1">
                  <from>
                    <xdr:col>3</xdr:col>
                    <xdr:colOff>48986</xdr:colOff>
                    <xdr:row>2</xdr:row>
                    <xdr:rowOff>21771</xdr:rowOff>
                  </from>
                  <to>
                    <xdr:col>3</xdr:col>
                    <xdr:colOff>1698171</xdr:colOff>
                    <xdr:row>2</xdr:row>
                    <xdr:rowOff>353786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B3"/>
  <sheetViews>
    <sheetView workbookViewId="0"/>
  </sheetViews>
  <sheetFormatPr defaultColWidth="9" defaultRowHeight="14.15"/>
  <cols>
    <col min="1" max="1" width="12.640625" customWidth="1"/>
    <col min="2" max="2" width="80.640625" customWidth="1"/>
  </cols>
  <sheetData>
    <row r="1" spans="1:2" ht="409.6">
      <c r="A1" t="s">
        <v>239</v>
      </c>
      <c r="B1" s="1" t="s">
        <v>240</v>
      </c>
    </row>
    <row r="2" spans="1:2" ht="409.6">
      <c r="A2" t="s">
        <v>241</v>
      </c>
      <c r="B2" s="1" t="s">
        <v>242</v>
      </c>
    </row>
    <row r="3" spans="1:2" ht="409.6">
      <c r="A3" t="s">
        <v>243</v>
      </c>
      <c r="B3" s="1" t="s">
        <v>244</v>
      </c>
    </row>
  </sheetData>
  <phoneticPr fontId="13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02-卡片输入-平台1200</vt:lpstr>
      <vt:lpstr>02-卡片输入-平台800</vt:lpstr>
      <vt:lpstr>03-卡片输入-平台1400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Stone Bright</dc:creator>
  <cp:lastModifiedBy>Stone Bright</cp:lastModifiedBy>
  <dcterms:created xsi:type="dcterms:W3CDTF">2026-05-04T03:16:00Z</dcterms:created>
  <dcterms:modified xsi:type="dcterms:W3CDTF">2026-05-18T08:54:53Z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C083CDD6C7C24114A65126229F5C749E_13</vt:lpwstr>
  </property>
  <property fmtid="{D5CDD505-2E9C-101B-9397-08002B2CF9AE}" pid="3" name="KSOProductBuildVer">
    <vt:lpwstr>2052-12.1.0.25865</vt:lpwstr>
  </property>
  <property fmtid="{D5CDD505-2E9C-101B-9397-08002B2CF9AE}" pid="4" name="CalculationRule">
    <vt:i4>0</vt:i4>
  </property>
</Properties>
</file>