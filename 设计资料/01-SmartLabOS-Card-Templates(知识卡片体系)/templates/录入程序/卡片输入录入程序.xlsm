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TestClaude\SmartLabOS-AI-Assistant\设计资料\01-SmartLabOS-Card-Templates(知识卡片体系)\templates\"/>
    </mc:Choice>
  </mc:AlternateContent>
  <xr:revisionPtr revIDLastSave="0" documentId="13_ncr:1_{7406D968-42F9-4FCD-863D-434A1A1FB6A3}" xr6:coauthVersionLast="47" xr6:coauthVersionMax="47" xr10:uidLastSave="{00000000-0000-0000-0000-000000000000}"/>
  <bookViews>
    <workbookView xWindow="-120" yWindow="-120" windowWidth="29040" windowHeight="15720" activeTab="2" xr2:uid="{7BAFD2AA-09D8-4FED-BB8F-45829278CAF3}"/>
  </bookViews>
  <sheets>
    <sheet name="01-卡片输入-模块" sheetId="1" r:id="rId1"/>
    <sheet name="02-卡片输入-平台" sheetId="2" r:id="rId2"/>
    <sheet name="03-卡片输入-方案" sheetId="3" r:id="rId3"/>
    <sheet name="_Templates" sheetId="4" state="veryHidden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1" l="1"/>
  <c r="B2" i="3"/>
  <c r="B2" i="2"/>
</calcChain>
</file>

<file path=xl/sharedStrings.xml><?xml version="1.0" encoding="utf-8"?>
<sst xmlns="http://schemas.openxmlformats.org/spreadsheetml/2006/main" count="626" uniqueCount="397">
  <si>
    <t>01 模块卡片录入 (MOD-XXXX.md)</t>
  </si>
  <si>
    <t>生成文件名（自动）</t>
  </si>
  <si>
    <t>保存目录: C:\TestClaude\SmartLabOS-AI-Assistant\设计资料\01-SmartLabOS-Card-Templates(知识卡片体系)\examples</t>
  </si>
  <si>
    <t>分组</t>
  </si>
  <si>
    <t>字段名称</t>
  </si>
  <si>
    <t>输入内容</t>
  </si>
  <si>
    <t>注意事项 / 输入说明</t>
  </si>
  <si>
    <t>YAML Key（隐藏）</t>
  </si>
  <si>
    <t>类型（隐藏）</t>
  </si>
  <si>
    <t>标识与版本</t>
  </si>
  <si>
    <t>模块ID（文件名主体）</t>
  </si>
  <si>
    <t>格式：MOD-类别-编号，例 MOD-SPE-12。文件名将自动生成为 &lt;id&gt;.md</t>
  </si>
  <si>
    <t>id</t>
  </si>
  <si>
    <t>str</t>
  </si>
  <si>
    <t>模块发货号</t>
  </si>
  <si>
    <t>格式：PRD-MOD-yyyymm序号，例 PRD-MOD-202604001</t>
  </si>
  <si>
    <t>Module_Part_No</t>
  </si>
  <si>
    <t>模块显示名称</t>
  </si>
  <si>
    <t>对外展示名称，将作为正文 H1 标题</t>
  </si>
  <si>
    <t>name</t>
  </si>
  <si>
    <t>模块大类</t>
  </si>
  <si>
    <t>必须与平台 supported_functions 对齐</t>
  </si>
  <si>
    <t>category</t>
  </si>
  <si>
    <t>choice</t>
  </si>
  <si>
    <t>卡片版本号</t>
  </si>
  <si>
    <t>卡片修订版本，例 1.0、1.2</t>
  </si>
  <si>
    <t>version</t>
  </si>
  <si>
    <t>1.0</t>
  </si>
  <si>
    <t>状态</t>
  </si>
  <si>
    <t>draft=草稿；active=启用；deprecated=废弃</t>
  </si>
  <si>
    <t>status</t>
  </si>
  <si>
    <t>draft</t>
  </si>
  <si>
    <t>最后更新日期</t>
  </si>
  <si>
    <t>格式 YYYY-MM-DD</t>
  </si>
  <si>
    <t>last_updated</t>
  </si>
  <si>
    <t>date</t>
  </si>
  <si>
    <t>负责人/团队</t>
  </si>
  <si>
    <t>模块负责人或团队名称</t>
  </si>
  <si>
    <t>owner</t>
  </si>
  <si>
    <t>物理规格</t>
  </si>
  <si>
    <t>长 (mm)</t>
  </si>
  <si>
    <t>模块外形长度，单位 mm</t>
  </si>
  <si>
    <t>dimensions_mm.length</t>
  </si>
  <si>
    <t>int</t>
  </si>
  <si>
    <t>宽 (mm)</t>
  </si>
  <si>
    <t>模块外形宽度，单位 mm</t>
  </si>
  <si>
    <t>dimensions_mm.width</t>
  </si>
  <si>
    <t>高 (mm)</t>
  </si>
  <si>
    <t>模块外形高度，单位 mm</t>
  </si>
  <si>
    <t>dimensions_mm.height</t>
  </si>
  <si>
    <t>重量 (kg)</t>
  </si>
  <si>
    <t>模块净重，单位 kg</t>
  </si>
  <si>
    <t>weight_kg</t>
  </si>
  <si>
    <t>float</t>
  </si>
  <si>
    <t>占用模块位数</t>
  </si>
  <si>
    <t>占用几个标准模块位</t>
  </si>
  <si>
    <t>module_slots</t>
  </si>
  <si>
    <t>占用托盘位数</t>
  </si>
  <si>
    <t>占用几个托盘位（不占填 0）</t>
  </si>
  <si>
    <t>tray_slots</t>
  </si>
  <si>
    <t>安装方式</t>
  </si>
  <si>
    <t>模块在平台上的安装位置类型</t>
  </si>
  <si>
    <t>mount_type</t>
  </si>
  <si>
    <t>工艺能力</t>
  </si>
  <si>
    <t>主功能</t>
  </si>
  <si>
    <t>主功能描述，需与平台 supported_functions 对齐</t>
  </si>
  <si>
    <t>function</t>
  </si>
  <si>
    <t>子功能（逗号分隔）</t>
  </si>
  <si>
    <t>可选，例：加液, 振荡, 加热</t>
  </si>
  <si>
    <t>sub_functions</t>
  </si>
  <si>
    <t>list_inline</t>
  </si>
  <si>
    <t>通量-单批容量</t>
  </si>
  <si>
    <t>单批可处理数量</t>
  </si>
  <si>
    <t>throughput.capacity</t>
  </si>
  <si>
    <t>通量-单位</t>
  </si>
  <si>
    <t>通量单位</t>
  </si>
  <si>
    <t>throughput.unit</t>
  </si>
  <si>
    <t>通量-单循环耗时(分钟)</t>
  </si>
  <si>
    <t>完成一次循环耗时</t>
  </si>
  <si>
    <t>throughput.cycle_time_min</t>
  </si>
  <si>
    <t>体积范围-min (ml)</t>
  </si>
  <si>
    <t>处理体积下限；不适用留空</t>
  </si>
  <si>
    <t>parameters.volume_ml.min</t>
  </si>
  <si>
    <t>体积范围-max (ml)</t>
  </si>
  <si>
    <t>处理体积上限；不适用留空</t>
  </si>
  <si>
    <t>parameters.volume_ml.max</t>
  </si>
  <si>
    <t>温度范围-min (℃)</t>
  </si>
  <si>
    <t>工作温度下限；不适用留空</t>
  </si>
  <si>
    <t>parameters.temperature_c.min</t>
  </si>
  <si>
    <t>温度范围-max (℃)</t>
  </si>
  <si>
    <t>工作温度上限；不适用留空</t>
  </si>
  <si>
    <t>parameters.temperature_c.max</t>
  </si>
  <si>
    <t>转速范围-min (rpm)</t>
  </si>
  <si>
    <t>转速下限；不适用留空</t>
  </si>
  <si>
    <t>parameters.speed_rpm.min</t>
  </si>
  <si>
    <t>转速范围-max (rpm)</t>
  </si>
  <si>
    <t>转速上限；不适用留空</t>
  </si>
  <si>
    <t>parameters.speed_rpm.max</t>
  </si>
  <si>
    <t>压力范围-min (bar)</t>
  </si>
  <si>
    <t>压力/真空下限（负值表示真空）；不适用留空</t>
  </si>
  <si>
    <t>parameters.pressure_bar.min</t>
  </si>
  <si>
    <t>压力范围-max (bar)</t>
  </si>
  <si>
    <t>压力/真空上限；不适用留空</t>
  </si>
  <si>
    <t>parameters.pressure_bar.max</t>
  </si>
  <si>
    <t>耗材与样品适配</t>
  </si>
  <si>
    <t>耗材清单（每行一项）</t>
  </si>
  <si>
    <t>每行一个耗材，例：
SPE 柱-3ml
试管-15ml</t>
  </si>
  <si>
    <t>consumables</t>
  </si>
  <si>
    <t>list_block</t>
  </si>
  <si>
    <t>样品容器（每行一项）</t>
  </si>
  <si>
    <t>兼容的样品容器，每行一项</t>
  </si>
  <si>
    <t>sample_container</t>
  </si>
  <si>
    <t>需要的抓手（每行一项）</t>
  </si>
  <si>
    <t>需要哪种抓手配合，每行一项</t>
  </si>
  <si>
    <t>gripper_required</t>
  </si>
  <si>
    <t>电气与环境</t>
  </si>
  <si>
    <t>额定功率 (kVA)</t>
  </si>
  <si>
    <t>模块额定功率</t>
  </si>
  <si>
    <t>power_kva_nominal</t>
  </si>
  <si>
    <t>峰值功率 (kVA)</t>
  </si>
  <si>
    <t>模块峰值功率</t>
  </si>
  <si>
    <t>power_kva_peak</t>
  </si>
  <si>
    <t>电压 (V)</t>
  </si>
  <si>
    <t>工作电压</t>
  </si>
  <si>
    <t>voltage_v</t>
  </si>
  <si>
    <t>是否发热模块</t>
  </si>
  <si>
    <t>是否属于发热类模块（影响通风计数）</t>
  </si>
  <si>
    <t>heat_generating</t>
  </si>
  <si>
    <t>bool</t>
  </si>
  <si>
    <t>false</t>
  </si>
  <si>
    <t>是否需要通风</t>
  </si>
  <si>
    <t>是否需要外部通风</t>
  </si>
  <si>
    <t>requires_ventilation</t>
  </si>
  <si>
    <t>是否需要压缩空气</t>
  </si>
  <si>
    <t>是否需要压缩空气接口</t>
  </si>
  <si>
    <t>requires_compressed_air</t>
  </si>
  <si>
    <t>是否需要水路</t>
  </si>
  <si>
    <t>是否需要供水</t>
  </si>
  <si>
    <t>requires_water</t>
  </si>
  <si>
    <t>是否需要排液</t>
  </si>
  <si>
    <t>是否需要排液接口</t>
  </si>
  <si>
    <t>requires_drain</t>
  </si>
  <si>
    <t>噪音水平 (dB)</t>
  </si>
  <si>
    <t>可选，工作噪音 dB；不填则输出 null</t>
  </si>
  <si>
    <t>noise_db</t>
  </si>
  <si>
    <t>平台兼容性</t>
  </si>
  <si>
    <t>兼容平台ID（每行一项）</t>
  </si>
  <si>
    <t>每行一个平台 ID，例：
PLT-1400
PLT-1800</t>
  </si>
  <si>
    <t>compatible_platforms</t>
  </si>
  <si>
    <t>明确不兼容平台（每行一项）</t>
  </si>
  <si>
    <t>每行一个平台 ID；无则留空</t>
  </si>
  <si>
    <t>incompatible_platforms</t>
  </si>
  <si>
    <t>模块间关系</t>
  </si>
  <si>
    <t>必须依赖模块（每行一项）</t>
  </si>
  <si>
    <t>必须配合使用的模块 ID，每行一项</t>
  </si>
  <si>
    <t>dependencies</t>
  </si>
  <si>
    <t>冲突模块（每行一项）</t>
  </si>
  <si>
    <t>不能同台的模块 ID，每行一项</t>
  </si>
  <si>
    <t>conflicts</t>
  </si>
  <si>
    <t>典型搭配（每行一项）</t>
  </si>
  <si>
    <t>典型搭配场景描述，每行一条</t>
  </si>
  <si>
    <t>typical_pairings</t>
  </si>
  <si>
    <t>价格与交付</t>
  </si>
  <si>
    <t>价格 (RMB)</t>
  </si>
  <si>
    <t>留空将输出 null。报价请联系销售</t>
  </si>
  <si>
    <t>price_rmb</t>
  </si>
  <si>
    <t>交付周期（周）</t>
  </si>
  <si>
    <t>标准交付周期</t>
  </si>
  <si>
    <t>lead_time_weeks</t>
  </si>
  <si>
    <t>维护周期（月）</t>
  </si>
  <si>
    <t>建议维护间隔</t>
  </si>
  <si>
    <t>maintenance_cycle_months</t>
  </si>
  <si>
    <t>标签</t>
  </si>
  <si>
    <t>标签（逗号分隔）</t>
  </si>
  <si>
    <t>输出为 [a, b, c]，例：核心模块, 净化, 高频</t>
  </si>
  <si>
    <t>tags</t>
  </si>
  <si>
    <t>正文</t>
  </si>
  <si>
    <t>用途说明</t>
  </si>
  <si>
    <t>一段话描述模块在工艺链中的角色、解决什么问题、与同类模块的差异</t>
  </si>
  <si>
    <t>body.purpose</t>
  </si>
  <si>
    <t>body</t>
  </si>
  <si>
    <t>典型应用场景</t>
  </si>
  <si>
    <t>列举典型场景，每条用 - 开头；可多行</t>
  </si>
  <si>
    <t>body.scenarios</t>
  </si>
  <si>
    <t>工作原理</t>
  </si>
  <si>
    <t>简要描述模块的核心机制（可选）</t>
  </si>
  <si>
    <t>body.principle</t>
  </si>
  <si>
    <t>限制与注意事项</t>
  </si>
  <si>
    <t>已知坑、易混淆点、维护要点；与其他模块协作时的注意事项</t>
  </si>
  <si>
    <t>body.limits</t>
  </si>
  <si>
    <t>备注</t>
  </si>
  <si>
    <t>订货前确认项、客户常问问题等自由说明</t>
  </si>
  <si>
    <t>body.notes</t>
  </si>
  <si>
    <t>02 平台卡片录入 (PLT-XXXX.md)</t>
  </si>
  <si>
    <t>平台ID（文件名主体）</t>
  </si>
  <si>
    <t>格式：PLT-编号，例 PLT-1400。文件名将自动生成为 &lt;id&gt;.md</t>
  </si>
  <si>
    <t>平台发货号</t>
  </si>
  <si>
    <t>格式：PRD-PLT-yyyymm序号</t>
  </si>
  <si>
    <t>Platform_Part_No</t>
  </si>
  <si>
    <t>平台显示名称</t>
  </si>
  <si>
    <t>对外展示名称</t>
  </si>
  <si>
    <t>可选</t>
  </si>
  <si>
    <t>占地面积 (m²)</t>
  </si>
  <si>
    <t>footprint_m2</t>
  </si>
  <si>
    <t>承载能力</t>
  </si>
  <si>
    <t>最大模块数</t>
  </si>
  <si>
    <t>平台可承载的模块上限</t>
  </si>
  <si>
    <t>max_modules</t>
  </si>
  <si>
    <t>最大托盘数</t>
  </si>
  <si>
    <t>平台可承载的托盘上限</t>
  </si>
  <si>
    <t>max_trays</t>
  </si>
  <si>
    <t>托盘长 (mm)</t>
  </si>
  <si>
    <t>tray_size_mm.length</t>
  </si>
  <si>
    <t>托盘宽 (mm)</t>
  </si>
  <si>
    <t>tray_size_mm.width</t>
  </si>
  <si>
    <t>托盘布局</t>
  </si>
  <si>
    <t>例 2x4 描述布局；可选</t>
  </si>
  <si>
    <t>tray_layout</t>
  </si>
  <si>
    <t>功能与配置</t>
  </si>
  <si>
    <t>支持的工艺功能（每行一项）</t>
  </si>
  <si>
    <t>每行一个功能，例：
称量
提取
净化</t>
  </si>
  <si>
    <t>supported_functions</t>
  </si>
  <si>
    <t>移液规格（逗号分隔，单位 ml）</t>
  </si>
  <si>
    <t>输出为数字数组，例：10, 5, 2, 1</t>
  </si>
  <si>
    <t>pipette_options_ml</t>
  </si>
  <si>
    <t>list_inline_num</t>
  </si>
  <si>
    <t>抓手选项（每行一项）</t>
  </si>
  <si>
    <t>每行一个抓手</t>
  </si>
  <si>
    <t>gripper_options</t>
  </si>
  <si>
    <t>模块兼容类型（每行一项）</t>
  </si>
  <si>
    <t>可选，每行一种模块大类</t>
  </si>
  <si>
    <t>module_compatibility</t>
  </si>
  <si>
    <t>环境温度-min (℃)</t>
  </si>
  <si>
    <t>ambient_temp_c.min</t>
  </si>
  <si>
    <t>环境温度-max (℃)</t>
  </si>
  <si>
    <t>ambient_temp_c.max</t>
  </si>
  <si>
    <t>限制</t>
  </si>
  <si>
    <t>最大加热模块数</t>
  </si>
  <si>
    <t>超过该数量需通风</t>
  </si>
  <si>
    <t>constraints.max_heating_modules</t>
  </si>
  <si>
    <t>需电力复核的模块组合（每行一组）</t>
  </si>
  <si>
    <t>每行一组，YAML 列表格式，例：
- [SPE, 浓缩]
- [离心, 加热]</t>
  </si>
  <si>
    <t>constraints.power_check_combos</t>
  </si>
  <si>
    <t>raw_yaml_block</t>
  </si>
  <si>
    <t>禁止同台的模块组合（每行一组）</t>
  </si>
  <si>
    <t>格式同上；无则留空</t>
  </si>
  <si>
    <t>constraints.forbidden_combos</t>
  </si>
  <si>
    <t>输出为 [a, b, c]</t>
  </si>
  <si>
    <t>一段话描述平台定位、目标场景、与其他平台的区别</t>
  </si>
  <si>
    <t>典型配置示例</t>
  </si>
  <si>
    <t>列出几种典型配置，每条用 - 开头</t>
  </si>
  <si>
    <t>body.config_examples</t>
  </si>
  <si>
    <t>用人话补充 constraints 字段背景及注意事项</t>
  </si>
  <si>
    <t>维护周期、已知坑、订货注意事项等</t>
  </si>
  <si>
    <t>03 方案卡片录入 (SOL-XXXX.md)</t>
  </si>
  <si>
    <t>方案ID（文件名主体）</t>
  </si>
  <si>
    <t>格式：SOL-类别-编号，例 SOL-PEST-01。文件名将自动生成为 &lt;id&gt;.md</t>
  </si>
  <si>
    <t>方案显示名称</t>
  </si>
  <si>
    <t>如：标准农残提取方案</t>
  </si>
  <si>
    <t>成熟度</t>
  </si>
  <si>
    <t>方案当前阶段</t>
  </si>
  <si>
    <t>maturity</t>
  </si>
  <si>
    <t>概念</t>
  </si>
  <si>
    <t>适用场景</t>
  </si>
  <si>
    <t>目标行业（每行一项）</t>
  </si>
  <si>
    <t>每行一个，例：
食品检测
环境监测</t>
  </si>
  <si>
    <t>target_industry</t>
  </si>
  <si>
    <t>适用样品类型（每行一项）</t>
  </si>
  <si>
    <t>每行一种样品类型</t>
  </si>
  <si>
    <t>target_samples</t>
  </si>
  <si>
    <t>目标分析物（每行一项）</t>
  </si>
  <si>
    <t>每行一类目标物</t>
  </si>
  <si>
    <t>target_analytes</t>
  </si>
  <si>
    <t>通量-每日样品数</t>
  </si>
  <si>
    <t>throughput_target.samples_per_day</t>
  </si>
  <si>
    <t>通量-每批样品数</t>
  </si>
  <si>
    <t>throughput_target.samples_per_batch</t>
  </si>
  <si>
    <t>单批周转时间 (h)</t>
  </si>
  <si>
    <t>turnaround_time_h</t>
  </si>
  <si>
    <t>对标方法标准（每行一项）</t>
  </si>
  <si>
    <t>每行一个，例：
GB 23200.113-2018
EPA Method 8270</t>
  </si>
  <si>
    <t>matches_standards</t>
  </si>
  <si>
    <t>硬件配置</t>
  </si>
  <si>
    <t>平台ID</t>
  </si>
  <si>
    <t>引用平台卡片 ID，例 PLT-1400</t>
  </si>
  <si>
    <t>platform.id</t>
  </si>
  <si>
    <t>平台数量</t>
  </si>
  <si>
    <t>多平台方案可 &gt;1</t>
  </si>
  <si>
    <t>platform.quantity</t>
  </si>
  <si>
    <t>模块清单（每行一组：MOD-ID | 数量 | 角色）</t>
  </si>
  <si>
    <t>每行一个模块配置，竖线分隔。例：
MOD-WEIGH-1 | 1 | 称量阶段
MOD-LIQUID-3 | 3 | 加液振荡
MOD-CENT-2 | 1 | 离心分离</t>
  </si>
  <si>
    <t>modules</t>
  </si>
  <si>
    <t>modules_block</t>
  </si>
  <si>
    <t>配套耗材/抓手（每行一项）</t>
  </si>
  <si>
    <t>每行一个耗材或抓手</t>
  </si>
  <si>
    <t>accessories</t>
  </si>
  <si>
    <t>工艺流程</t>
  </si>
  <si>
    <t>工艺步骤（每行一组：步骤号 | 名称 | MOD-ID | 时长min | 参数 | 备注）</t>
  </si>
  <si>
    <t xml:space="preserve">竖线分隔，参数用 k=v 逗号分隔，例：
1 | 称量 | MOD-WEIGH-1 | 5 | mass_g.min=1, mass_g.max=5 | 可选备注
2 | 加液 | MOD-LIQUID-3 | 3 | volume_ml=10 | 
3 | 振荡提取 | MOD-LIQUID-3 | 30 | speed_rpm=1500, temperature_c=25 | </t>
  </si>
  <si>
    <t>workflow</t>
  </si>
  <si>
    <t>workflow_block</t>
  </si>
  <si>
    <t>端到端总耗时 (min)</t>
  </si>
  <si>
    <t>单样品总耗时</t>
  </si>
  <si>
    <t>total_cycle_time_min</t>
  </si>
  <si>
    <t>并行处理能力</t>
  </si>
  <si>
    <t>同时可跑几个样</t>
  </si>
  <si>
    <t>parallel_capacity</t>
  </si>
  <si>
    <t>性能与指标</t>
  </si>
  <si>
    <t>加标回收率-min</t>
  </si>
  <si>
    <t>例 0.7</t>
  </si>
  <si>
    <t>performance.recovery_rate.min</t>
  </si>
  <si>
    <t>加标回收率-max</t>
  </si>
  <si>
    <t>例 1.2</t>
  </si>
  <si>
    <t>performance.recovery_rate.max</t>
  </si>
  <si>
    <t>RSD 上限 (%)</t>
  </si>
  <si>
    <t>相对标准偏差上限</t>
  </si>
  <si>
    <t>performance.rsd_percent</t>
  </si>
  <si>
    <t>检出限</t>
  </si>
  <si>
    <t>可选；不填输出 null</t>
  </si>
  <si>
    <t>performance.detection_limit</t>
  </si>
  <si>
    <t>是否完成方法学验证</t>
  </si>
  <si>
    <t>performance.validated</t>
  </si>
  <si>
    <t>资源占用汇总</t>
  </si>
  <si>
    <t>使用模块总数</t>
  </si>
  <si>
    <t>应 ≤ 平台 max_modules</t>
  </si>
  <si>
    <t>resource_summary.total_modules_used</t>
  </si>
  <si>
    <t>使用托盘总数</t>
  </si>
  <si>
    <t>应 ≤ 平台 max_trays</t>
  </si>
  <si>
    <t>resource_summary.total_trays_used</t>
  </si>
  <si>
    <t>峰值总功率 (kVA)</t>
  </si>
  <si>
    <t>应 ≤ 平台 power_kva_peak</t>
  </si>
  <si>
    <t>resource_summary.total_power_kva_peak</t>
  </si>
  <si>
    <t>是否触发通风规则</t>
  </si>
  <si>
    <t>resource_summary.ventilation_required</t>
  </si>
  <si>
    <t>resource_summary.compressed_air_required</t>
  </si>
  <si>
    <t>resource_summary.water_required</t>
  </si>
  <si>
    <t>商务信息</t>
  </si>
  <si>
    <t>硬件价 (RMB)</t>
  </si>
  <si>
    <t>留空输出 null。报价请联系销售</t>
  </si>
  <si>
    <t>price_rmb.hardware</t>
  </si>
  <si>
    <t>安装调试 (RMB)</t>
  </si>
  <si>
    <t>留空输出 null</t>
  </si>
  <si>
    <t>price_rmb.installation</t>
  </si>
  <si>
    <t>培训 (RMB)</t>
  </si>
  <si>
    <t>price_rmb.training</t>
  </si>
  <si>
    <t>首年服务 (RMB)</t>
  </si>
  <si>
    <t>price_rmb.first_year_service</t>
  </si>
  <si>
    <t>合计 (RMB)</t>
  </si>
  <si>
    <t>price_rmb.total</t>
  </si>
  <si>
    <t>质保期（月）</t>
  </si>
  <si>
    <t>warranty_months</t>
  </si>
  <si>
    <t>已交付案例</t>
  </si>
  <si>
    <t>案例清单（每行一组：客户 | 城市 | 日期 | 通量 | 反馈 | 可作参考true/false）</t>
  </si>
  <si>
    <t>竖线分隔，可脱敏。例：
某检测中心 | 北京 | 2026-01 | 200样/天 | 客户反馈良好 | false</t>
  </si>
  <si>
    <t>deployments</t>
  </si>
  <si>
    <t>deployments_block</t>
  </si>
  <si>
    <t>替代方案</t>
  </si>
  <si>
    <t>替代方案（每行一组：SOL-ID | 差异点）</t>
  </si>
  <si>
    <t>竖线分隔，例：
SOL-PEST-02 | 通量更高,价格更高</t>
  </si>
  <si>
    <t>alternatives</t>
  </si>
  <si>
    <t>alternatives_block</t>
  </si>
  <si>
    <t>升级路径（每行一组：SOL-ID | 升级说明）</t>
  </si>
  <si>
    <t>竖线分隔，例：
SOL-PEST-03 | 增加 X 模块即可</t>
  </si>
  <si>
    <t>upgrades</t>
  </si>
  <si>
    <t>upgrades_block</t>
  </si>
  <si>
    <t>方案定位</t>
  </si>
  <si>
    <t>销售对客户的第一句话：方案给谁用、解决什么问题、为什么选它</t>
  </si>
  <si>
    <t>body.positioning</t>
  </si>
  <si>
    <t>适用客户画像</t>
  </si>
  <si>
    <t>客户类型、典型样品量级、预算区间、实验室条件要求</t>
  </si>
  <si>
    <t>body.customer_profile</t>
  </si>
  <si>
    <t>工艺流程说明</t>
  </si>
  <si>
    <t>按 workflow 步骤展开，每步在做什么、为什么、关键参数怎么定</t>
  </si>
  <si>
    <t>body.workflow_desc</t>
  </si>
  <si>
    <t>配置说明</t>
  </si>
  <si>
    <t>为什么选这个平台和模块组合，哪些是核心，哪些可选</t>
  </si>
  <si>
    <t>body.config_desc</t>
  </si>
  <si>
    <t>性能数据</t>
  </si>
  <si>
    <t>实测回收率/RSD、与人工对比、与同类自动化方案对比</t>
  </si>
  <si>
    <t>body.performance_data</t>
  </si>
  <si>
    <t>部署要求</t>
  </si>
  <si>
    <t>场地、电力、公用工程、环境要求</t>
  </si>
  <si>
    <t>body.deployment</t>
  </si>
  <si>
    <t>已知限制</t>
  </si>
  <si>
    <t>不适用样品、参数边界、维护要求</t>
  </si>
  <si>
    <t>body.known_limits</t>
  </si>
  <si>
    <t>客户常见问题</t>
  </si>
  <si>
    <t>销售常被问的问题及标准答复</t>
  </si>
  <si>
    <t>body.faq</t>
  </si>
  <si>
    <t>订货流程、培训计划、售后承诺等</t>
  </si>
  <si>
    <t>module</t>
  </si>
  <si>
    <t xml:space="preserve">---
id: {{id}}
Module_Part_No: {{Module_Part_No}}
name: {{name}}
category: {{category}}
version: {{version}}
status: {{status}}
last_updated: {{last_updated}}
owner: {{owner}}
dimensions_mm:
  length: {{dimensions_mm.length}}
  width: {{dimensions_mm.width}}
  height: {{dimensions_mm.height}}
weight_kg: {{weight_kg}}
module_slots: {{module_slots}}
tray_slots: {{tray_slots}}
mount_type: {{mount_type}}
function: {{function}}
sub_functions: [{{sub_functions|inline}}]
throughput:
  capacity: {{throughput.capacity}}
  unit: {{throughput.unit}}
  cycle_time_min: {{throughput.cycle_time_min}}
parameters:
  volume_ml: { min: {{parameters.volume_ml.min}}, max: {{parameters.volume_ml.max}} }
  temperature_c: { min: {{parameters.temperature_c.min}}, max: {{parameters.temperature_c.max}} }
  speed_rpm: { min: {{parameters.speed_rpm.min}}, max: {{parameters.speed_rpm.max}} }
  pressure_bar: { min: {{parameters.pressure_bar.min}}, max: {{parameters.pressure_bar.max}} }
consumables:
{{consumables|block:2}}
sample_container:
{{sample_container|block:2}}
gripper_required:
{{gripper_required|block:2}}
power_kva_nominal: {{power_kva_nominal}}
power_kva_peak: {{power_kva_peak}}
voltage_v: {{voltage_v}}
heat_generating: {{heat_generating}}
requires_ventilation: {{requires_ventilation}}
requires_compressed_air: {{requires_compressed_air}}
requires_water: {{requires_water}}
requires_drain: {{requires_drain}}
noise_db: {{noise_db}}
compatible_platforms:
{{compatible_platforms|block:2}}
incompatible_platforms:
{{incompatible_platforms|block:2}}
dependencies:
{{dependencies|block:2}}
conflicts:
{{conflicts|block:2}}
typical_pairings:
{{typical_pairings|block:2}}
price_rmb: {{price_rmb}}
lead_time_weeks: {{lead_time_weeks}}
maintenance_cycle_months: {{maintenance_cycle_months}}
tags: [{{tags|inline}}]
---
# {{name}}
## 用途说明
{{body.purpose}}
## 典型应用场景
{{body.scenarios}}
## 工作原理
{{body.principle}}
## 限制与注意事项
{{body.limits}}
## 备注
{{body.notes}}
</t>
  </si>
  <si>
    <t>platform</t>
  </si>
  <si>
    <t xml:space="preserve">---
id: {{id}}
Platform_Part_No: {{Platform_Part_No}}
name: {{name}}
version: {{version}}
status: {{status}}
last_updated: {{last_updated}}
owner: {{owner}}
dimensions_mm:
  length: {{dimensions_mm.length}}
  width: {{dimensions_mm.width}}
  height: {{dimensions_mm.height}}
weight_kg: {{weight_kg}}
footprint_m2: {{footprint_m2}}
max_modules: {{max_modules}}
max_trays: {{max_trays}}
tray_size_mm:
  length: {{tray_size_mm.length}}
  width: {{tray_size_mm.width}}
tray_layout: "{{tray_layout}}"
supported_functions:
{{supported_functions|block:2}}
pipette_options_ml: [{{pipette_options_ml|inline}}]
gripper_options:
{{gripper_options|block:2}}
module_compatibility:
{{module_compatibility|block:2}}
power_kva_nominal: {{power_kva_nominal}}
power_kva_peak: {{power_kva_peak}}
voltage_v: {{voltage_v}}
requires_ventilation: {{requires_ventilation}}
requires_compressed_air: {{requires_compressed_air}}
ambient_temp_c: { min: {{ambient_temp_c.min}}, max: {{ambient_temp_c.max}} }
constraints:
  max_heating_modules: {{constraints.max_heating_modules}}
  power_check_combos:
{{constraints.power_check_combos|raw:4}}
  forbidden_combos:
{{constraints.forbidden_combos|raw:4}}
price_rmb: {{price_rmb}}
lead_time_weeks: {{lead_time_weeks}}
tags: [{{tags|inline}}]
---
# {{name}}
## 用途说明
{{body.purpose}}
## 典型配置示例
{{body.config_examples}}
## 限制
{{body.limits}}
## 备注
{{body.notes}}
</t>
  </si>
  <si>
    <t>solution</t>
  </si>
  <si>
    <t xml:space="preserve">---
id: {{id}}
name: {{name}}
version: {{version}}
status: {{status}}
last_updated: {{last_updated}}
owner: {{owner}}
maturity: {{maturity}}
target_industry:
{{target_industry|block:2}}
target_samples:
{{target_samples|block:2}}
target_analytes:
{{target_analytes|block:2}}
throughput_target:
  samples_per_day: {{throughput_target.samples_per_day}}
  samples_per_batch: {{throughput_target.samples_per_batch}}
turnaround_time_h: {{turnaround_time_h}}
matches_standards:
{{matches_standards|block:2}}
platform:
  id: {{platform.id}}
  quantity: {{platform.quantity}}
modules:
{{modules|modules:2}}
accessories:
{{accessories|block:2}}
workflow:
{{workflow|workflow:2}}
total_cycle_time_min: {{total_cycle_time_min}}
parallel_capacity: {{parallel_capacity}}
performance:
  recovery_rate: { min: {{performance.recovery_rate.min}}, max: {{performance.recovery_rate.max}} }
  rsd_percent: {{performance.rsd_percent}}
  detection_limit: {{performance.detection_limit}}
  validated: {{performance.validated}}
resource_summary:
  total_modules_used: {{resource_summary.total_modules_used}}
  total_trays_used: {{resource_summary.total_trays_used}}
  total_power_kva_peak: {{resource_summary.total_power_kva_peak}}
  ventilation_required: {{resource_summary.ventilation_required}}
  compressed_air_required: {{resource_summary.compressed_air_required}}
  water_required: {{resource_summary.water_required}}
price_rmb:
  hardware: {{price_rmb.hardware}}
  installation: {{price_rmb.installation}}
  training: {{price_rmb.training}}
  first_year_service: {{price_rmb.first_year_service}}
  total: {{price_rmb.total}}
lead_time_weeks: {{lead_time_weeks}}
warranty_months: {{warranty_months}}
deployments:
{{deployments|deployments:2}}
alternatives:
{{alternatives|alternatives:2}}
upgrades:
{{upgrades|upgrades:2}}
tags: [{{tags|inline}}]
---
# {{name}}
## 方案定位
{{body.positioning}}
## 适用客户画像
{{body.customer_profile}}
## 工艺流程说明
{{body.workflow_desc}}
## 配置说明
{{body.config_desc}}
## 性能数据
{{body.performance_data}}
## 部署要求
{{body.deployment}}
## 已知限制
{{body.known_limits}}
## 客户常见问题
{{body.faq}}
## 备注
{{body.notes}}
</t>
  </si>
  <si>
    <t>false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</si>
</sst>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1"/>
      <color rgb="FF0000FF"/>
      <name val="等线"/>
      <family val="3"/>
      <charset val="134"/>
      <scheme val="minor"/>
    </font>
    <font>
      <i/>
      <sz val="9"/>
      <color theme="1"/>
      <name val="等线"/>
      <family val="3"/>
      <charset val="134"/>
      <scheme val="minor"/>
    </font>
    <font>
      <sz val="9"/>
      <color rgb="FF666666"/>
      <name val="等线"/>
      <family val="2"/>
      <charset val="134"/>
      <scheme val="minor"/>
    </font>
    <font>
      <sz val="11"/>
      <color theme="1"/>
      <name val="Consolas"/>
      <family val="3"/>
    </font>
    <font>
      <sz val="9"/>
      <name val="等线"/>
      <family val="2"/>
      <charset val="134"/>
      <scheme val="minor"/>
    </font>
    <font>
      <b/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7964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0" borderId="0" xfId="0" applyFont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4" borderId="0" xfId="0" applyFont="1" applyFill="1">
      <alignment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top" wrapText="1"/>
    </xf>
    <xf numFmtId="49" fontId="0" fillId="5" borderId="0" xfId="0" applyNumberFormat="1" applyFill="1">
      <alignment vertical="center"/>
    </xf>
    <xf numFmtId="0" fontId="0" fillId="5" borderId="0" xfId="0" applyFill="1">
      <alignment vertical="center"/>
    </xf>
    <xf numFmtId="49" fontId="0" fillId="5" borderId="0" xfId="0" applyNumberFormat="1" applyFill="1" applyAlignment="1">
      <alignment vertical="top" wrapText="1"/>
    </xf>
    <xf numFmtId="49" fontId="6" fillId="5" borderId="0" xfId="0" applyNumberFormat="1" applyFont="1" applyFill="1" applyAlignment="1">
      <alignment vertical="top" wrapText="1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47625</xdr:rowOff>
        </xdr:from>
        <xdr:to>
          <xdr:col>1</xdr:col>
          <xdr:colOff>457200</xdr:colOff>
          <xdr:row>2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清除当前输入项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2</xdr:row>
          <xdr:rowOff>47625</xdr:rowOff>
        </xdr:from>
        <xdr:to>
          <xdr:col>1</xdr:col>
          <xdr:colOff>2209800</xdr:colOff>
          <xdr:row>2</xdr:row>
          <xdr:rowOff>381000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清除所有输入项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2314575</xdr:colOff>
          <xdr:row>2</xdr:row>
          <xdr:rowOff>47625</xdr:rowOff>
        </xdr:from>
        <xdr:to>
          <xdr:col>2</xdr:col>
          <xdr:colOff>2514600</xdr:colOff>
          <xdr:row>2</xdr:row>
          <xdr:rowOff>381000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输出卡片内容到 MD 文档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38878-8BD3-4A74-8953-83C029FBD84B}">
  <sheetPr codeName="Sheet1"/>
  <dimension ref="A1:F58"/>
  <sheetViews>
    <sheetView workbookViewId="0">
      <pane ySplit="4" topLeftCell="A5" activePane="bottomLeft" state="frozenSplit"/>
      <selection pane="bottomLeft" sqref="A1:D1"/>
    </sheetView>
  </sheetViews>
  <sheetFormatPr defaultRowHeight="14.25" x14ac:dyDescent="0.2"/>
  <cols>
    <col min="1" max="1" width="16.625" customWidth="1"/>
    <col min="2" max="2" width="30.625" customWidth="1"/>
    <col min="3" max="4" width="55.625" customWidth="1"/>
    <col min="5" max="5" width="26.625" hidden="1" customWidth="1"/>
    <col min="6" max="6" width="12.625" hidden="1" customWidth="1"/>
  </cols>
  <sheetData>
    <row r="1" spans="1:6" ht="27.95" customHeight="1" x14ac:dyDescent="0.2">
      <c r="A1" s="11" t="s">
        <v>0</v>
      </c>
      <c r="B1" s="12"/>
      <c r="C1" s="12"/>
      <c r="D1" s="12"/>
    </row>
    <row r="2" spans="1:6" ht="21.95" customHeight="1" x14ac:dyDescent="0.2">
      <c r="A2" s="1" t="s">
        <v>1</v>
      </c>
      <c r="B2" s="2" t="str">
        <f>IF(C5="","(请先填写 id 字段)",C5&amp;".md")</f>
        <v>(请先填写 id 字段)</v>
      </c>
      <c r="C2" s="13" t="s">
        <v>2</v>
      </c>
      <c r="D2" s="13"/>
    </row>
    <row r="3" spans="1:6" ht="36" customHeight="1" x14ac:dyDescent="0.2"/>
    <row r="4" spans="1:6" x14ac:dyDescent="0.2">
      <c r="A4" s="3" t="s">
        <v>3</v>
      </c>
      <c r="B4" s="3" t="s">
        <v>4</v>
      </c>
      <c r="C4" s="3" t="s">
        <v>5</v>
      </c>
      <c r="D4" s="3" t="s">
        <v>6</v>
      </c>
      <c r="E4" s="3" t="s">
        <v>7</v>
      </c>
      <c r="F4" s="3" t="s">
        <v>8</v>
      </c>
    </row>
    <row r="5" spans="1:6" x14ac:dyDescent="0.2">
      <c r="A5" s="4" t="s">
        <v>9</v>
      </c>
      <c r="B5" t="s">
        <v>10</v>
      </c>
      <c r="C5" s="7"/>
      <c r="D5" s="6" t="s">
        <v>11</v>
      </c>
      <c r="E5" t="s">
        <v>12</v>
      </c>
      <c r="F5" t="s">
        <v>13</v>
      </c>
    </row>
    <row r="6" spans="1:6" x14ac:dyDescent="0.2">
      <c r="B6" t="s">
        <v>14</v>
      </c>
      <c r="C6" s="7"/>
      <c r="D6" s="6" t="s">
        <v>15</v>
      </c>
      <c r="E6" t="s">
        <v>16</v>
      </c>
      <c r="F6" t="s">
        <v>13</v>
      </c>
    </row>
    <row r="7" spans="1:6" x14ac:dyDescent="0.2">
      <c r="B7" t="s">
        <v>17</v>
      </c>
      <c r="C7" s="7"/>
      <c r="D7" s="6" t="s">
        <v>18</v>
      </c>
      <c r="E7" t="s">
        <v>19</v>
      </c>
      <c r="F7" t="s">
        <v>13</v>
      </c>
    </row>
    <row r="8" spans="1:6" x14ac:dyDescent="0.2">
      <c r="B8" t="s">
        <v>20</v>
      </c>
      <c r="C8" s="7"/>
      <c r="D8" s="6" t="s">
        <v>21</v>
      </c>
      <c r="E8" t="s">
        <v>22</v>
      </c>
      <c r="F8" t="s">
        <v>23</v>
      </c>
    </row>
    <row r="9" spans="1:6" x14ac:dyDescent="0.2">
      <c r="B9" t="s">
        <v>24</v>
      </c>
      <c r="C9" s="7"/>
      <c r="D9" s="6" t="s">
        <v>25</v>
      </c>
      <c r="E9" t="s">
        <v>26</v>
      </c>
      <c r="F9" t="s">
        <v>13</v>
      </c>
    </row>
    <row r="10" spans="1:6" x14ac:dyDescent="0.2">
      <c r="B10" t="s">
        <v>28</v>
      </c>
      <c r="C10" s="7"/>
      <c r="D10" s="6" t="s">
        <v>29</v>
      </c>
      <c r="E10" t="s">
        <v>30</v>
      </c>
      <c r="F10" t="s">
        <v>23</v>
      </c>
    </row>
    <row r="11" spans="1:6" x14ac:dyDescent="0.2">
      <c r="B11" t="s">
        <v>32</v>
      </c>
      <c r="C11" s="7"/>
      <c r="D11" s="6" t="s">
        <v>33</v>
      </c>
      <c r="E11" t="s">
        <v>34</v>
      </c>
      <c r="F11" t="s">
        <v>35</v>
      </c>
    </row>
    <row r="12" spans="1:6" x14ac:dyDescent="0.2">
      <c r="B12" t="s">
        <v>36</v>
      </c>
      <c r="C12" s="7"/>
      <c r="D12" s="6" t="s">
        <v>37</v>
      </c>
      <c r="E12" t="s">
        <v>38</v>
      </c>
      <c r="F12" t="s">
        <v>13</v>
      </c>
    </row>
    <row r="13" spans="1:6" x14ac:dyDescent="0.2">
      <c r="A13" s="4" t="s">
        <v>39</v>
      </c>
      <c r="B13" t="s">
        <v>40</v>
      </c>
      <c r="C13" s="8"/>
      <c r="D13" s="6" t="s">
        <v>41</v>
      </c>
      <c r="E13" t="s">
        <v>42</v>
      </c>
      <c r="F13" t="s">
        <v>43</v>
      </c>
    </row>
    <row r="14" spans="1:6" x14ac:dyDescent="0.2">
      <c r="B14" t="s">
        <v>44</v>
      </c>
      <c r="C14" s="8"/>
      <c r="D14" s="6" t="s">
        <v>45</v>
      </c>
      <c r="E14" t="s">
        <v>46</v>
      </c>
      <c r="F14" t="s">
        <v>43</v>
      </c>
    </row>
    <row r="15" spans="1:6" x14ac:dyDescent="0.2">
      <c r="B15" t="s">
        <v>47</v>
      </c>
      <c r="C15" s="8"/>
      <c r="D15" s="6" t="s">
        <v>48</v>
      </c>
      <c r="E15" t="s">
        <v>49</v>
      </c>
      <c r="F15" t="s">
        <v>43</v>
      </c>
    </row>
    <row r="16" spans="1:6" x14ac:dyDescent="0.2">
      <c r="B16" t="s">
        <v>50</v>
      </c>
      <c r="C16" s="8"/>
      <c r="D16" s="6" t="s">
        <v>51</v>
      </c>
      <c r="E16" t="s">
        <v>52</v>
      </c>
      <c r="F16" t="s">
        <v>53</v>
      </c>
    </row>
    <row r="17" spans="1:6" x14ac:dyDescent="0.2">
      <c r="B17" t="s">
        <v>54</v>
      </c>
      <c r="C17" s="8"/>
      <c r="D17" s="6" t="s">
        <v>55</v>
      </c>
      <c r="E17" t="s">
        <v>56</v>
      </c>
      <c r="F17" t="s">
        <v>43</v>
      </c>
    </row>
    <row r="18" spans="1:6" x14ac:dyDescent="0.2">
      <c r="B18" t="s">
        <v>57</v>
      </c>
      <c r="C18" s="8"/>
      <c r="D18" s="6" t="s">
        <v>58</v>
      </c>
      <c r="E18" t="s">
        <v>59</v>
      </c>
      <c r="F18" t="s">
        <v>43</v>
      </c>
    </row>
    <row r="19" spans="1:6" x14ac:dyDescent="0.2">
      <c r="B19" t="s">
        <v>60</v>
      </c>
      <c r="C19" s="7"/>
      <c r="D19" s="6" t="s">
        <v>61</v>
      </c>
      <c r="E19" t="s">
        <v>62</v>
      </c>
      <c r="F19" t="s">
        <v>23</v>
      </c>
    </row>
    <row r="20" spans="1:6" x14ac:dyDescent="0.2">
      <c r="A20" s="4" t="s">
        <v>63</v>
      </c>
      <c r="B20" t="s">
        <v>64</v>
      </c>
      <c r="C20" s="7"/>
      <c r="D20" s="6" t="s">
        <v>65</v>
      </c>
      <c r="E20" t="s">
        <v>66</v>
      </c>
      <c r="F20" t="s">
        <v>13</v>
      </c>
    </row>
    <row r="21" spans="1:6" x14ac:dyDescent="0.2">
      <c r="B21" t="s">
        <v>67</v>
      </c>
      <c r="C21" s="7"/>
      <c r="D21" s="6" t="s">
        <v>68</v>
      </c>
      <c r="E21" t="s">
        <v>69</v>
      </c>
      <c r="F21" t="s">
        <v>70</v>
      </c>
    </row>
    <row r="22" spans="1:6" x14ac:dyDescent="0.2">
      <c r="B22" t="s">
        <v>71</v>
      </c>
      <c r="C22" s="8"/>
      <c r="D22" s="6" t="s">
        <v>72</v>
      </c>
      <c r="E22" t="s">
        <v>73</v>
      </c>
      <c r="F22" t="s">
        <v>43</v>
      </c>
    </row>
    <row r="23" spans="1:6" x14ac:dyDescent="0.2">
      <c r="B23" t="s">
        <v>74</v>
      </c>
      <c r="C23" s="7"/>
      <c r="D23" s="6" t="s">
        <v>75</v>
      </c>
      <c r="E23" t="s">
        <v>76</v>
      </c>
      <c r="F23" t="s">
        <v>23</v>
      </c>
    </row>
    <row r="24" spans="1:6" x14ac:dyDescent="0.2">
      <c r="B24" t="s">
        <v>77</v>
      </c>
      <c r="C24" s="8"/>
      <c r="D24" s="6" t="s">
        <v>78</v>
      </c>
      <c r="E24" t="s">
        <v>79</v>
      </c>
      <c r="F24" t="s">
        <v>43</v>
      </c>
    </row>
    <row r="25" spans="1:6" x14ac:dyDescent="0.2">
      <c r="B25" t="s">
        <v>80</v>
      </c>
      <c r="C25" s="8"/>
      <c r="D25" s="6" t="s">
        <v>81</v>
      </c>
      <c r="E25" t="s">
        <v>82</v>
      </c>
      <c r="F25" t="s">
        <v>53</v>
      </c>
    </row>
    <row r="26" spans="1:6" x14ac:dyDescent="0.2">
      <c r="B26" t="s">
        <v>83</v>
      </c>
      <c r="C26" s="8"/>
      <c r="D26" s="6" t="s">
        <v>84</v>
      </c>
      <c r="E26" t="s">
        <v>85</v>
      </c>
      <c r="F26" t="s">
        <v>53</v>
      </c>
    </row>
    <row r="27" spans="1:6" x14ac:dyDescent="0.2">
      <c r="B27" t="s">
        <v>86</v>
      </c>
      <c r="C27" s="8"/>
      <c r="D27" s="6" t="s">
        <v>87</v>
      </c>
      <c r="E27" t="s">
        <v>88</v>
      </c>
      <c r="F27" t="s">
        <v>53</v>
      </c>
    </row>
    <row r="28" spans="1:6" x14ac:dyDescent="0.2">
      <c r="B28" t="s">
        <v>89</v>
      </c>
      <c r="C28" s="8"/>
      <c r="D28" s="6" t="s">
        <v>90</v>
      </c>
      <c r="E28" t="s">
        <v>91</v>
      </c>
      <c r="F28" t="s">
        <v>53</v>
      </c>
    </row>
    <row r="29" spans="1:6" x14ac:dyDescent="0.2">
      <c r="B29" t="s">
        <v>92</v>
      </c>
      <c r="C29" s="8"/>
      <c r="D29" s="6" t="s">
        <v>93</v>
      </c>
      <c r="E29" t="s">
        <v>94</v>
      </c>
      <c r="F29" t="s">
        <v>43</v>
      </c>
    </row>
    <row r="30" spans="1:6" x14ac:dyDescent="0.2">
      <c r="B30" t="s">
        <v>95</v>
      </c>
      <c r="C30" s="8"/>
      <c r="D30" s="6" t="s">
        <v>96</v>
      </c>
      <c r="E30" t="s">
        <v>97</v>
      </c>
      <c r="F30" t="s">
        <v>43</v>
      </c>
    </row>
    <row r="31" spans="1:6" x14ac:dyDescent="0.2">
      <c r="B31" t="s">
        <v>98</v>
      </c>
      <c r="C31" s="8"/>
      <c r="D31" s="6" t="s">
        <v>99</v>
      </c>
      <c r="E31" t="s">
        <v>100</v>
      </c>
      <c r="F31" t="s">
        <v>53</v>
      </c>
    </row>
    <row r="32" spans="1:6" x14ac:dyDescent="0.2">
      <c r="B32" t="s">
        <v>101</v>
      </c>
      <c r="C32" s="8"/>
      <c r="D32" s="6" t="s">
        <v>102</v>
      </c>
      <c r="E32" t="s">
        <v>103</v>
      </c>
      <c r="F32" t="s">
        <v>53</v>
      </c>
    </row>
    <row r="33" spans="1:6" ht="60" customHeight="1" x14ac:dyDescent="0.2">
      <c r="A33" s="4" t="s">
        <v>104</v>
      </c>
      <c r="B33" t="s">
        <v>105</v>
      </c>
      <c r="C33" s="9"/>
      <c r="D33" s="6" t="s">
        <v>106</v>
      </c>
      <c r="E33" t="s">
        <v>107</v>
      </c>
      <c r="F33" t="s">
        <v>108</v>
      </c>
    </row>
    <row r="34" spans="1:6" ht="60" customHeight="1" x14ac:dyDescent="0.2">
      <c r="B34" t="s">
        <v>109</v>
      </c>
      <c r="C34" s="9"/>
      <c r="D34" s="6" t="s">
        <v>110</v>
      </c>
      <c r="E34" t="s">
        <v>111</v>
      </c>
      <c r="F34" t="s">
        <v>108</v>
      </c>
    </row>
    <row r="35" spans="1:6" ht="60" customHeight="1" x14ac:dyDescent="0.2">
      <c r="B35" t="s">
        <v>112</v>
      </c>
      <c r="C35" s="9"/>
      <c r="D35" s="6" t="s">
        <v>113</v>
      </c>
      <c r="E35" t="s">
        <v>114</v>
      </c>
      <c r="F35" t="s">
        <v>108</v>
      </c>
    </row>
    <row r="36" spans="1:6" x14ac:dyDescent="0.2">
      <c r="A36" s="4" t="s">
        <v>115</v>
      </c>
      <c r="B36" t="s">
        <v>116</v>
      </c>
      <c r="C36" s="8"/>
      <c r="D36" s="6" t="s">
        <v>117</v>
      </c>
      <c r="E36" t="s">
        <v>118</v>
      </c>
      <c r="F36" t="s">
        <v>53</v>
      </c>
    </row>
    <row r="37" spans="1:6" x14ac:dyDescent="0.2">
      <c r="B37" t="s">
        <v>119</v>
      </c>
      <c r="C37" s="8"/>
      <c r="D37" s="6" t="s">
        <v>120</v>
      </c>
      <c r="E37" t="s">
        <v>121</v>
      </c>
      <c r="F37" t="s">
        <v>53</v>
      </c>
    </row>
    <row r="38" spans="1:6" x14ac:dyDescent="0.2">
      <c r="B38" t="s">
        <v>122</v>
      </c>
      <c r="C38" s="8"/>
      <c r="D38" s="6" t="s">
        <v>123</v>
      </c>
      <c r="E38" t="s">
        <v>124</v>
      </c>
      <c r="F38" t="s">
        <v>43</v>
      </c>
    </row>
    <row r="39" spans="1:6" x14ac:dyDescent="0.2">
      <c r="B39" t="s">
        <v>125</v>
      </c>
      <c r="C39" s="7"/>
      <c r="D39" s="6" t="s">
        <v>126</v>
      </c>
      <c r="E39" t="s">
        <v>127</v>
      </c>
      <c r="F39" t="s">
        <v>128</v>
      </c>
    </row>
    <row r="40" spans="1:6" x14ac:dyDescent="0.2">
      <c r="B40" t="s">
        <v>130</v>
      </c>
      <c r="C40" s="7"/>
      <c r="D40" s="6" t="s">
        <v>131</v>
      </c>
      <c r="E40" t="s">
        <v>132</v>
      </c>
      <c r="F40" t="s">
        <v>128</v>
      </c>
    </row>
    <row r="41" spans="1:6" x14ac:dyDescent="0.2">
      <c r="B41" t="s">
        <v>133</v>
      </c>
      <c r="C41" s="7"/>
      <c r="D41" s="6" t="s">
        <v>134</v>
      </c>
      <c r="E41" t="s">
        <v>135</v>
      </c>
      <c r="F41" t="s">
        <v>128</v>
      </c>
    </row>
    <row r="42" spans="1:6" x14ac:dyDescent="0.2">
      <c r="B42" t="s">
        <v>136</v>
      </c>
      <c r="C42" s="7"/>
      <c r="D42" s="6" t="s">
        <v>137</v>
      </c>
      <c r="E42" t="s">
        <v>138</v>
      </c>
      <c r="F42" t="s">
        <v>128</v>
      </c>
    </row>
    <row r="43" spans="1:6" x14ac:dyDescent="0.2">
      <c r="B43" t="s">
        <v>139</v>
      </c>
      <c r="C43" s="7"/>
      <c r="D43" s="6" t="s">
        <v>140</v>
      </c>
      <c r="E43" t="s">
        <v>141</v>
      </c>
      <c r="F43" t="s">
        <v>128</v>
      </c>
    </row>
    <row r="44" spans="1:6" x14ac:dyDescent="0.2">
      <c r="B44" t="s">
        <v>142</v>
      </c>
      <c r="C44" s="8"/>
      <c r="D44" s="6" t="s">
        <v>143</v>
      </c>
      <c r="E44" t="s">
        <v>144</v>
      </c>
      <c r="F44" t="s">
        <v>43</v>
      </c>
    </row>
    <row r="45" spans="1:6" ht="60" customHeight="1" x14ac:dyDescent="0.2">
      <c r="A45" s="4" t="s">
        <v>145</v>
      </c>
      <c r="B45" t="s">
        <v>146</v>
      </c>
      <c r="C45" s="9"/>
      <c r="D45" s="6" t="s">
        <v>147</v>
      </c>
      <c r="E45" t="s">
        <v>148</v>
      </c>
      <c r="F45" t="s">
        <v>108</v>
      </c>
    </row>
    <row r="46" spans="1:6" ht="60" customHeight="1" x14ac:dyDescent="0.2">
      <c r="B46" t="s">
        <v>149</v>
      </c>
      <c r="C46" s="9"/>
      <c r="D46" s="6" t="s">
        <v>150</v>
      </c>
      <c r="E46" t="s">
        <v>151</v>
      </c>
      <c r="F46" t="s">
        <v>108</v>
      </c>
    </row>
    <row r="47" spans="1:6" ht="60" customHeight="1" x14ac:dyDescent="0.2">
      <c r="A47" s="4" t="s">
        <v>152</v>
      </c>
      <c r="B47" t="s">
        <v>153</v>
      </c>
      <c r="C47" s="9"/>
      <c r="D47" s="6" t="s">
        <v>154</v>
      </c>
      <c r="E47" t="s">
        <v>155</v>
      </c>
      <c r="F47" t="s">
        <v>108</v>
      </c>
    </row>
    <row r="48" spans="1:6" ht="60" customHeight="1" x14ac:dyDescent="0.2">
      <c r="B48" t="s">
        <v>156</v>
      </c>
      <c r="C48" s="9"/>
      <c r="D48" s="6" t="s">
        <v>157</v>
      </c>
      <c r="E48" t="s">
        <v>158</v>
      </c>
      <c r="F48" t="s">
        <v>108</v>
      </c>
    </row>
    <row r="49" spans="1:6" ht="60" customHeight="1" x14ac:dyDescent="0.2">
      <c r="B49" t="s">
        <v>159</v>
      </c>
      <c r="C49" s="9"/>
      <c r="D49" s="6" t="s">
        <v>160</v>
      </c>
      <c r="E49" t="s">
        <v>161</v>
      </c>
      <c r="F49" t="s">
        <v>108</v>
      </c>
    </row>
    <row r="50" spans="1:6" x14ac:dyDescent="0.2">
      <c r="A50" s="4" t="s">
        <v>162</v>
      </c>
      <c r="B50" t="s">
        <v>163</v>
      </c>
      <c r="C50" s="8"/>
      <c r="D50" s="6" t="s">
        <v>164</v>
      </c>
      <c r="E50" t="s">
        <v>165</v>
      </c>
      <c r="F50" t="s">
        <v>43</v>
      </c>
    </row>
    <row r="51" spans="1:6" x14ac:dyDescent="0.2">
      <c r="B51" t="s">
        <v>166</v>
      </c>
      <c r="C51" s="8"/>
      <c r="D51" s="6" t="s">
        <v>167</v>
      </c>
      <c r="E51" t="s">
        <v>168</v>
      </c>
      <c r="F51" t="s">
        <v>43</v>
      </c>
    </row>
    <row r="52" spans="1:6" x14ac:dyDescent="0.2">
      <c r="B52" t="s">
        <v>169</v>
      </c>
      <c r="C52" s="8"/>
      <c r="D52" s="6" t="s">
        <v>170</v>
      </c>
      <c r="E52" t="s">
        <v>171</v>
      </c>
      <c r="F52" t="s">
        <v>43</v>
      </c>
    </row>
    <row r="53" spans="1:6" x14ac:dyDescent="0.2">
      <c r="A53" s="4" t="s">
        <v>172</v>
      </c>
      <c r="B53" t="s">
        <v>173</v>
      </c>
      <c r="C53" s="7"/>
      <c r="D53" s="6" t="s">
        <v>174</v>
      </c>
      <c r="E53" t="s">
        <v>175</v>
      </c>
      <c r="F53" t="s">
        <v>70</v>
      </c>
    </row>
    <row r="54" spans="1:6" ht="99.95" customHeight="1" x14ac:dyDescent="0.2">
      <c r="A54" s="4" t="s">
        <v>176</v>
      </c>
      <c r="B54" t="s">
        <v>177</v>
      </c>
      <c r="C54" s="9"/>
      <c r="D54" s="6" t="s">
        <v>178</v>
      </c>
      <c r="E54" t="s">
        <v>179</v>
      </c>
      <c r="F54" t="s">
        <v>180</v>
      </c>
    </row>
    <row r="55" spans="1:6" ht="99.95" customHeight="1" x14ac:dyDescent="0.2">
      <c r="B55" t="s">
        <v>181</v>
      </c>
      <c r="C55" s="9"/>
      <c r="D55" s="6" t="s">
        <v>182</v>
      </c>
      <c r="E55" t="s">
        <v>183</v>
      </c>
      <c r="F55" t="s">
        <v>180</v>
      </c>
    </row>
    <row r="56" spans="1:6" ht="99.95" customHeight="1" x14ac:dyDescent="0.2">
      <c r="B56" t="s">
        <v>184</v>
      </c>
      <c r="C56" s="9"/>
      <c r="D56" s="6" t="s">
        <v>185</v>
      </c>
      <c r="E56" t="s">
        <v>186</v>
      </c>
      <c r="F56" t="s">
        <v>180</v>
      </c>
    </row>
    <row r="57" spans="1:6" ht="99.95" customHeight="1" x14ac:dyDescent="0.2">
      <c r="B57" t="s">
        <v>187</v>
      </c>
      <c r="C57" s="9"/>
      <c r="D57" s="6" t="s">
        <v>188</v>
      </c>
      <c r="E57" t="s">
        <v>189</v>
      </c>
      <c r="F57" t="s">
        <v>180</v>
      </c>
    </row>
    <row r="58" spans="1:6" ht="99.95" customHeight="1" x14ac:dyDescent="0.2">
      <c r="B58" t="s">
        <v>190</v>
      </c>
      <c r="C58" s="9"/>
      <c r="D58" s="6" t="s">
        <v>191</v>
      </c>
      <c r="E58" t="s">
        <v>192</v>
      </c>
      <c r="F58" t="s">
        <v>180</v>
      </c>
    </row>
  </sheetData>
  <mergeCells count="2">
    <mergeCell ref="A1:D1"/>
    <mergeCell ref="C2:D2"/>
  </mergeCells>
  <phoneticPr fontId="7" type="noConversion"/>
  <dataValidations count="5">
    <dataValidation type="list" allowBlank="1" showInputMessage="1" showErrorMessage="1" sqref="C8" xr:uid="{94BD93DA-264D-4CB0-BB28-5C8185DEDBB9}">
      <formula1>"加液振荡,SPE,浓缩,离心,移液,称量,加热,其他"</formula1>
    </dataValidation>
    <dataValidation type="list" allowBlank="1" showInputMessage="1" showErrorMessage="1" sqref="C10" xr:uid="{E3C4DEA2-FED7-43CD-96FA-A0682995ED10}">
      <formula1>"draft,active,deprecated"</formula1>
    </dataValidation>
    <dataValidation type="list" allowBlank="1" showInputMessage="1" showErrorMessage="1" sqref="C19" xr:uid="{3D7C2A0B-3C5D-4718-A0A9-2410D6555754}">
      <formula1>"标准模块位,托盘位,平台外置,顶部安装"</formula1>
    </dataValidation>
    <dataValidation type="list" allowBlank="1" showInputMessage="1" showErrorMessage="1" sqref="C23" xr:uid="{1BFFC5C9-F792-4CC2-B7F2-BCA79B07E992}">
      <formula1>"样品,板,管"</formula1>
    </dataValidation>
    <dataValidation type="list" allowBlank="1" showInputMessage="1" showErrorMessage="1" sqref="C39 C40 C41 C42 C43" xr:uid="{7419BFC3-AA56-43ED-AC78-DA47290A9CC1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A31F0-09DD-481F-8AE8-7F2323A3E4C5}">
  <sheetPr codeName="Sheet2"/>
  <dimension ref="A1:F42"/>
  <sheetViews>
    <sheetView workbookViewId="0">
      <pane ySplit="4" topLeftCell="A34" activePane="bottomLeft" state="frozenSplit"/>
      <selection pane="bottomLeft" activeCell="D30" sqref="D30"/>
    </sheetView>
  </sheetViews>
  <sheetFormatPr defaultRowHeight="14.25" x14ac:dyDescent="0.2"/>
  <cols>
    <col min="1" max="1" width="16.625" customWidth="1"/>
    <col min="2" max="2" width="30.625" customWidth="1"/>
    <col min="3" max="4" width="55.625" customWidth="1"/>
    <col min="5" max="5" width="26.625" hidden="1" customWidth="1"/>
    <col min="6" max="6" width="12.625" hidden="1" customWidth="1"/>
  </cols>
  <sheetData>
    <row r="1" spans="1:6" ht="27.95" customHeight="1" x14ac:dyDescent="0.2">
      <c r="A1" s="11" t="s">
        <v>193</v>
      </c>
      <c r="B1" s="12"/>
      <c r="C1" s="12"/>
      <c r="D1" s="12"/>
    </row>
    <row r="2" spans="1:6" ht="21.95" customHeight="1" x14ac:dyDescent="0.2">
      <c r="A2" s="1" t="s">
        <v>1</v>
      </c>
      <c r="B2" s="2" t="str">
        <f>IF(C5="","(请先填写 id 字段)",C5&amp;".md")</f>
        <v>(请先填写 id 字段)</v>
      </c>
      <c r="C2" s="13" t="s">
        <v>2</v>
      </c>
      <c r="D2" s="13"/>
    </row>
    <row r="3" spans="1:6" ht="36" customHeight="1" x14ac:dyDescent="0.2"/>
    <row r="4" spans="1:6" x14ac:dyDescent="0.2">
      <c r="A4" s="3" t="s">
        <v>3</v>
      </c>
      <c r="B4" s="3" t="s">
        <v>4</v>
      </c>
      <c r="C4" s="3" t="s">
        <v>5</v>
      </c>
      <c r="D4" s="3" t="s">
        <v>6</v>
      </c>
      <c r="E4" s="3" t="s">
        <v>7</v>
      </c>
      <c r="F4" s="3" t="s">
        <v>8</v>
      </c>
    </row>
    <row r="5" spans="1:6" x14ac:dyDescent="0.2">
      <c r="A5" s="4" t="s">
        <v>9</v>
      </c>
      <c r="B5" t="s">
        <v>194</v>
      </c>
      <c r="C5" s="7"/>
      <c r="D5" s="6" t="s">
        <v>195</v>
      </c>
      <c r="E5" t="s">
        <v>12</v>
      </c>
      <c r="F5" t="s">
        <v>13</v>
      </c>
    </row>
    <row r="6" spans="1:6" x14ac:dyDescent="0.2">
      <c r="B6" t="s">
        <v>196</v>
      </c>
      <c r="C6" s="7"/>
      <c r="D6" s="6" t="s">
        <v>197</v>
      </c>
      <c r="E6" t="s">
        <v>198</v>
      </c>
      <c r="F6" t="s">
        <v>13</v>
      </c>
    </row>
    <row r="7" spans="1:6" x14ac:dyDescent="0.2">
      <c r="B7" t="s">
        <v>199</v>
      </c>
      <c r="C7" s="7"/>
      <c r="D7" s="6" t="s">
        <v>200</v>
      </c>
      <c r="E7" t="s">
        <v>19</v>
      </c>
      <c r="F7" t="s">
        <v>13</v>
      </c>
    </row>
    <row r="8" spans="1:6" x14ac:dyDescent="0.2">
      <c r="B8" t="s">
        <v>24</v>
      </c>
      <c r="C8" s="7" t="s">
        <v>27</v>
      </c>
      <c r="D8" s="6"/>
      <c r="E8" t="s">
        <v>26</v>
      </c>
      <c r="F8" t="s">
        <v>13</v>
      </c>
    </row>
    <row r="9" spans="1:6" x14ac:dyDescent="0.2">
      <c r="B9" t="s">
        <v>28</v>
      </c>
      <c r="C9" s="7" t="s">
        <v>31</v>
      </c>
      <c r="D9" s="6"/>
      <c r="E9" t="s">
        <v>30</v>
      </c>
      <c r="F9" t="s">
        <v>23</v>
      </c>
    </row>
    <row r="10" spans="1:6" x14ac:dyDescent="0.2">
      <c r="B10" t="s">
        <v>32</v>
      </c>
      <c r="C10" s="7"/>
      <c r="D10" s="6" t="s">
        <v>33</v>
      </c>
      <c r="E10" t="s">
        <v>34</v>
      </c>
      <c r="F10" t="s">
        <v>35</v>
      </c>
    </row>
    <row r="11" spans="1:6" x14ac:dyDescent="0.2">
      <c r="B11" t="s">
        <v>36</v>
      </c>
      <c r="C11" s="7"/>
      <c r="D11" s="6" t="s">
        <v>201</v>
      </c>
      <c r="E11" t="s">
        <v>38</v>
      </c>
      <c r="F11" t="s">
        <v>13</v>
      </c>
    </row>
    <row r="12" spans="1:6" x14ac:dyDescent="0.2">
      <c r="A12" s="4" t="s">
        <v>39</v>
      </c>
      <c r="B12" t="s">
        <v>40</v>
      </c>
      <c r="C12" s="8"/>
      <c r="D12" s="6"/>
      <c r="E12" t="s">
        <v>42</v>
      </c>
      <c r="F12" t="s">
        <v>43</v>
      </c>
    </row>
    <row r="13" spans="1:6" x14ac:dyDescent="0.2">
      <c r="B13" t="s">
        <v>44</v>
      </c>
      <c r="C13" s="8"/>
      <c r="D13" s="6"/>
      <c r="E13" t="s">
        <v>46</v>
      </c>
      <c r="F13" t="s">
        <v>43</v>
      </c>
    </row>
    <row r="14" spans="1:6" x14ac:dyDescent="0.2">
      <c r="B14" t="s">
        <v>47</v>
      </c>
      <c r="C14" s="8"/>
      <c r="D14" s="6"/>
      <c r="E14" t="s">
        <v>49</v>
      </c>
      <c r="F14" t="s">
        <v>43</v>
      </c>
    </row>
    <row r="15" spans="1:6" x14ac:dyDescent="0.2">
      <c r="B15" t="s">
        <v>50</v>
      </c>
      <c r="C15" s="8"/>
      <c r="D15" s="6" t="s">
        <v>201</v>
      </c>
      <c r="E15" t="s">
        <v>52</v>
      </c>
      <c r="F15" t="s">
        <v>53</v>
      </c>
    </row>
    <row r="16" spans="1:6" x14ac:dyDescent="0.2">
      <c r="B16" t="s">
        <v>202</v>
      </c>
      <c r="C16" s="8"/>
      <c r="D16" s="6" t="s">
        <v>201</v>
      </c>
      <c r="E16" t="s">
        <v>203</v>
      </c>
      <c r="F16" t="s">
        <v>53</v>
      </c>
    </row>
    <row r="17" spans="1:6" x14ac:dyDescent="0.2">
      <c r="A17" s="4" t="s">
        <v>204</v>
      </c>
      <c r="B17" t="s">
        <v>205</v>
      </c>
      <c r="C17" s="8"/>
      <c r="D17" s="6" t="s">
        <v>206</v>
      </c>
      <c r="E17" t="s">
        <v>207</v>
      </c>
      <c r="F17" t="s">
        <v>43</v>
      </c>
    </row>
    <row r="18" spans="1:6" x14ac:dyDescent="0.2">
      <c r="B18" t="s">
        <v>208</v>
      </c>
      <c r="C18" s="8"/>
      <c r="D18" s="6" t="s">
        <v>209</v>
      </c>
      <c r="E18" t="s">
        <v>210</v>
      </c>
      <c r="F18" t="s">
        <v>43</v>
      </c>
    </row>
    <row r="19" spans="1:6" x14ac:dyDescent="0.2">
      <c r="B19" t="s">
        <v>211</v>
      </c>
      <c r="C19" s="8"/>
      <c r="D19" s="6"/>
      <c r="E19" t="s">
        <v>212</v>
      </c>
      <c r="F19" t="s">
        <v>43</v>
      </c>
    </row>
    <row r="20" spans="1:6" x14ac:dyDescent="0.2">
      <c r="B20" t="s">
        <v>213</v>
      </c>
      <c r="C20" s="8"/>
      <c r="D20" s="6"/>
      <c r="E20" t="s">
        <v>214</v>
      </c>
      <c r="F20" t="s">
        <v>43</v>
      </c>
    </row>
    <row r="21" spans="1:6" x14ac:dyDescent="0.2">
      <c r="B21" t="s">
        <v>215</v>
      </c>
      <c r="C21" s="7"/>
      <c r="D21" s="6" t="s">
        <v>216</v>
      </c>
      <c r="E21" t="s">
        <v>217</v>
      </c>
      <c r="F21" t="s">
        <v>13</v>
      </c>
    </row>
    <row r="22" spans="1:6" ht="60" customHeight="1" x14ac:dyDescent="0.2">
      <c r="A22" s="4" t="s">
        <v>218</v>
      </c>
      <c r="B22" t="s">
        <v>219</v>
      </c>
      <c r="C22" s="9"/>
      <c r="D22" s="6" t="s">
        <v>220</v>
      </c>
      <c r="E22" t="s">
        <v>221</v>
      </c>
      <c r="F22" t="s">
        <v>108</v>
      </c>
    </row>
    <row r="23" spans="1:6" x14ac:dyDescent="0.2">
      <c r="B23" t="s">
        <v>222</v>
      </c>
      <c r="C23" s="7"/>
      <c r="D23" s="6" t="s">
        <v>223</v>
      </c>
      <c r="E23" t="s">
        <v>224</v>
      </c>
      <c r="F23" t="s">
        <v>225</v>
      </c>
    </row>
    <row r="24" spans="1:6" ht="60" customHeight="1" x14ac:dyDescent="0.2">
      <c r="B24" t="s">
        <v>226</v>
      </c>
      <c r="C24" s="9"/>
      <c r="D24" s="6" t="s">
        <v>227</v>
      </c>
      <c r="E24" t="s">
        <v>228</v>
      </c>
      <c r="F24" t="s">
        <v>108</v>
      </c>
    </row>
    <row r="25" spans="1:6" ht="60" customHeight="1" x14ac:dyDescent="0.2">
      <c r="B25" t="s">
        <v>229</v>
      </c>
      <c r="C25" s="9"/>
      <c r="D25" s="6" t="s">
        <v>230</v>
      </c>
      <c r="E25" t="s">
        <v>231</v>
      </c>
      <c r="F25" t="s">
        <v>108</v>
      </c>
    </row>
    <row r="26" spans="1:6" x14ac:dyDescent="0.2">
      <c r="A26" s="4" t="s">
        <v>115</v>
      </c>
      <c r="B26" t="s">
        <v>116</v>
      </c>
      <c r="C26" s="8"/>
      <c r="D26" s="6"/>
      <c r="E26" t="s">
        <v>118</v>
      </c>
      <c r="F26" t="s">
        <v>53</v>
      </c>
    </row>
    <row r="27" spans="1:6" x14ac:dyDescent="0.2">
      <c r="B27" t="s">
        <v>119</v>
      </c>
      <c r="C27" s="8"/>
      <c r="D27" s="6"/>
      <c r="E27" t="s">
        <v>121</v>
      </c>
      <c r="F27" t="s">
        <v>53</v>
      </c>
    </row>
    <row r="28" spans="1:6" x14ac:dyDescent="0.2">
      <c r="B28" t="s">
        <v>122</v>
      </c>
      <c r="C28" s="8">
        <v>220</v>
      </c>
      <c r="D28" s="6" t="s">
        <v>201</v>
      </c>
      <c r="E28" t="s">
        <v>124</v>
      </c>
      <c r="F28" t="s">
        <v>43</v>
      </c>
    </row>
    <row r="29" spans="1:6" x14ac:dyDescent="0.2">
      <c r="B29" t="s">
        <v>130</v>
      </c>
      <c r="C29" s="7" t="s">
        <v>396</v>
      </c>
      <c r="D29" s="6"/>
      <c r="E29" t="s">
        <v>132</v>
      </c>
      <c r="F29" t="s">
        <v>128</v>
      </c>
    </row>
    <row r="30" spans="1:6" x14ac:dyDescent="0.2">
      <c r="B30" t="s">
        <v>133</v>
      </c>
      <c r="C30" s="7" t="s">
        <v>129</v>
      </c>
      <c r="D30" s="6"/>
      <c r="E30" t="s">
        <v>135</v>
      </c>
      <c r="F30" t="s">
        <v>128</v>
      </c>
    </row>
    <row r="31" spans="1:6" x14ac:dyDescent="0.2">
      <c r="B31" t="s">
        <v>232</v>
      </c>
      <c r="C31" s="8">
        <v>15</v>
      </c>
      <c r="D31" s="6" t="s">
        <v>201</v>
      </c>
      <c r="E31" t="s">
        <v>233</v>
      </c>
      <c r="F31" t="s">
        <v>43</v>
      </c>
    </row>
    <row r="32" spans="1:6" x14ac:dyDescent="0.2">
      <c r="B32" t="s">
        <v>234</v>
      </c>
      <c r="C32" s="8">
        <v>30</v>
      </c>
      <c r="D32" s="6" t="s">
        <v>201</v>
      </c>
      <c r="E32" t="s">
        <v>235</v>
      </c>
      <c r="F32" t="s">
        <v>43</v>
      </c>
    </row>
    <row r="33" spans="1:6" x14ac:dyDescent="0.2">
      <c r="A33" s="4" t="s">
        <v>236</v>
      </c>
      <c r="B33" t="s">
        <v>237</v>
      </c>
      <c r="C33" s="8"/>
      <c r="D33" s="6" t="s">
        <v>238</v>
      </c>
      <c r="E33" t="s">
        <v>239</v>
      </c>
      <c r="F33" t="s">
        <v>43</v>
      </c>
    </row>
    <row r="34" spans="1:6" ht="60" customHeight="1" x14ac:dyDescent="0.2">
      <c r="B34" t="s">
        <v>240</v>
      </c>
      <c r="C34" s="10"/>
      <c r="D34" s="6" t="s">
        <v>241</v>
      </c>
      <c r="E34" t="s">
        <v>242</v>
      </c>
      <c r="F34" t="s">
        <v>243</v>
      </c>
    </row>
    <row r="35" spans="1:6" ht="60" customHeight="1" x14ac:dyDescent="0.2">
      <c r="B35" t="s">
        <v>244</v>
      </c>
      <c r="C35" s="10"/>
      <c r="D35" s="6" t="s">
        <v>245</v>
      </c>
      <c r="E35" t="s">
        <v>246</v>
      </c>
      <c r="F35" t="s">
        <v>243</v>
      </c>
    </row>
    <row r="36" spans="1:6" x14ac:dyDescent="0.2">
      <c r="A36" s="4" t="s">
        <v>162</v>
      </c>
      <c r="B36" t="s">
        <v>163</v>
      </c>
      <c r="C36" s="8"/>
      <c r="D36" s="6" t="s">
        <v>164</v>
      </c>
      <c r="E36" t="s">
        <v>165</v>
      </c>
      <c r="F36" t="s">
        <v>43</v>
      </c>
    </row>
    <row r="37" spans="1:6" x14ac:dyDescent="0.2">
      <c r="B37" t="s">
        <v>166</v>
      </c>
      <c r="C37" s="8"/>
      <c r="D37" s="6"/>
      <c r="E37" t="s">
        <v>168</v>
      </c>
      <c r="F37" t="s">
        <v>43</v>
      </c>
    </row>
    <row r="38" spans="1:6" x14ac:dyDescent="0.2">
      <c r="A38" s="4" t="s">
        <v>172</v>
      </c>
      <c r="B38" t="s">
        <v>173</v>
      </c>
      <c r="C38" s="7"/>
      <c r="D38" s="6" t="s">
        <v>247</v>
      </c>
      <c r="E38" t="s">
        <v>175</v>
      </c>
      <c r="F38" t="s">
        <v>70</v>
      </c>
    </row>
    <row r="39" spans="1:6" ht="99.95" customHeight="1" x14ac:dyDescent="0.2">
      <c r="A39" s="4" t="s">
        <v>176</v>
      </c>
      <c r="B39" t="s">
        <v>177</v>
      </c>
      <c r="C39" s="9"/>
      <c r="D39" s="6" t="s">
        <v>248</v>
      </c>
      <c r="E39" t="s">
        <v>179</v>
      </c>
      <c r="F39" t="s">
        <v>180</v>
      </c>
    </row>
    <row r="40" spans="1:6" ht="99.95" customHeight="1" x14ac:dyDescent="0.2">
      <c r="B40" t="s">
        <v>249</v>
      </c>
      <c r="C40" s="9"/>
      <c r="D40" s="6" t="s">
        <v>250</v>
      </c>
      <c r="E40" t="s">
        <v>251</v>
      </c>
      <c r="F40" t="s">
        <v>180</v>
      </c>
    </row>
    <row r="41" spans="1:6" ht="99.95" customHeight="1" x14ac:dyDescent="0.2">
      <c r="B41" t="s">
        <v>236</v>
      </c>
      <c r="C41" s="9"/>
      <c r="D41" s="6" t="s">
        <v>252</v>
      </c>
      <c r="E41" t="s">
        <v>189</v>
      </c>
      <c r="F41" t="s">
        <v>180</v>
      </c>
    </row>
    <row r="42" spans="1:6" ht="99.95" customHeight="1" x14ac:dyDescent="0.2">
      <c r="B42" t="s">
        <v>190</v>
      </c>
      <c r="C42" s="9"/>
      <c r="D42" s="6" t="s">
        <v>253</v>
      </c>
      <c r="E42" t="s">
        <v>192</v>
      </c>
      <c r="F42" t="s">
        <v>180</v>
      </c>
    </row>
  </sheetData>
  <mergeCells count="2">
    <mergeCell ref="A1:D1"/>
    <mergeCell ref="C2:D2"/>
  </mergeCells>
  <phoneticPr fontId="7" type="noConversion"/>
  <dataValidations count="2">
    <dataValidation type="list" allowBlank="1" showInputMessage="1" showErrorMessage="1" sqref="C9" xr:uid="{9F8BA2F0-C558-4169-A1EE-A23A2CCE4665}">
      <formula1>"draft,active,deprecated"</formula1>
    </dataValidation>
    <dataValidation type="list" allowBlank="1" showInputMessage="1" showErrorMessage="1" sqref="C29 C30" xr:uid="{296E8E14-00FA-4AC9-8D52-46B017DFCA22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73E05-CAFF-4E16-8B79-DD9BEE79E2A1}">
  <sheetPr codeName="Sheet3"/>
  <dimension ref="A1:F56"/>
  <sheetViews>
    <sheetView tabSelected="1" workbookViewId="0">
      <pane ySplit="4" topLeftCell="A5" activePane="bottomLeft" state="frozenSplit"/>
      <selection pane="bottomLeft" sqref="A1:D1"/>
    </sheetView>
  </sheetViews>
  <sheetFormatPr defaultRowHeight="14.25" x14ac:dyDescent="0.2"/>
  <cols>
    <col min="1" max="1" width="16.625" customWidth="1"/>
    <col min="2" max="2" width="30.625" customWidth="1"/>
    <col min="3" max="4" width="55.625" customWidth="1"/>
    <col min="5" max="5" width="26.625" hidden="1" customWidth="1"/>
    <col min="6" max="6" width="12.625" hidden="1" customWidth="1"/>
  </cols>
  <sheetData>
    <row r="1" spans="1:6" ht="27.95" customHeight="1" x14ac:dyDescent="0.2">
      <c r="A1" s="11" t="s">
        <v>254</v>
      </c>
      <c r="B1" s="12"/>
      <c r="C1" s="12"/>
      <c r="D1" s="12"/>
    </row>
    <row r="2" spans="1:6" ht="21.95" customHeight="1" x14ac:dyDescent="0.2">
      <c r="A2" s="1" t="s">
        <v>1</v>
      </c>
      <c r="B2" s="2" t="str">
        <f>IF(C5="","(请先填写 id 字段)",C5&amp;".md")</f>
        <v>(请先填写 id 字段)</v>
      </c>
      <c r="C2" s="13" t="s">
        <v>2</v>
      </c>
      <c r="D2" s="13"/>
    </row>
    <row r="3" spans="1:6" ht="36" customHeight="1" x14ac:dyDescent="0.2"/>
    <row r="4" spans="1:6" x14ac:dyDescent="0.2">
      <c r="A4" s="3" t="s">
        <v>3</v>
      </c>
      <c r="B4" s="3" t="s">
        <v>4</v>
      </c>
      <c r="C4" s="3" t="s">
        <v>5</v>
      </c>
      <c r="D4" s="3" t="s">
        <v>6</v>
      </c>
      <c r="E4" s="3" t="s">
        <v>7</v>
      </c>
      <c r="F4" s="3" t="s">
        <v>8</v>
      </c>
    </row>
    <row r="5" spans="1:6" x14ac:dyDescent="0.2">
      <c r="A5" s="4" t="s">
        <v>9</v>
      </c>
      <c r="B5" t="s">
        <v>255</v>
      </c>
      <c r="C5" s="7"/>
      <c r="D5" s="6" t="s">
        <v>256</v>
      </c>
      <c r="E5" t="s">
        <v>12</v>
      </c>
      <c r="F5" t="s">
        <v>13</v>
      </c>
    </row>
    <row r="6" spans="1:6" x14ac:dyDescent="0.2">
      <c r="B6" t="s">
        <v>257</v>
      </c>
      <c r="C6" s="7"/>
      <c r="D6" s="6" t="s">
        <v>258</v>
      </c>
      <c r="E6" t="s">
        <v>19</v>
      </c>
      <c r="F6" t="s">
        <v>13</v>
      </c>
    </row>
    <row r="7" spans="1:6" x14ac:dyDescent="0.2">
      <c r="B7" t="s">
        <v>24</v>
      </c>
      <c r="C7" s="7" t="s">
        <v>27</v>
      </c>
      <c r="D7" s="6"/>
      <c r="E7" t="s">
        <v>26</v>
      </c>
      <c r="F7" t="s">
        <v>13</v>
      </c>
    </row>
    <row r="8" spans="1:6" x14ac:dyDescent="0.2">
      <c r="B8" t="s">
        <v>28</v>
      </c>
      <c r="C8" s="7" t="s">
        <v>31</v>
      </c>
      <c r="D8" s="6"/>
      <c r="E8" t="s">
        <v>30</v>
      </c>
      <c r="F8" t="s">
        <v>23</v>
      </c>
    </row>
    <row r="9" spans="1:6" x14ac:dyDescent="0.2">
      <c r="B9" t="s">
        <v>32</v>
      </c>
      <c r="C9" s="7"/>
      <c r="D9" s="6" t="s">
        <v>33</v>
      </c>
      <c r="E9" t="s">
        <v>34</v>
      </c>
      <c r="F9" t="s">
        <v>35</v>
      </c>
    </row>
    <row r="10" spans="1:6" x14ac:dyDescent="0.2">
      <c r="B10" t="s">
        <v>36</v>
      </c>
      <c r="C10" s="7"/>
      <c r="D10" s="6"/>
      <c r="E10" t="s">
        <v>38</v>
      </c>
      <c r="F10" t="s">
        <v>13</v>
      </c>
    </row>
    <row r="11" spans="1:6" x14ac:dyDescent="0.2">
      <c r="B11" t="s">
        <v>259</v>
      </c>
      <c r="C11" s="7" t="s">
        <v>262</v>
      </c>
      <c r="D11" s="6" t="s">
        <v>260</v>
      </c>
      <c r="E11" t="s">
        <v>261</v>
      </c>
      <c r="F11" t="s">
        <v>23</v>
      </c>
    </row>
    <row r="12" spans="1:6" ht="60" customHeight="1" x14ac:dyDescent="0.2">
      <c r="A12" s="4" t="s">
        <v>263</v>
      </c>
      <c r="B12" t="s">
        <v>264</v>
      </c>
      <c r="C12" s="9"/>
      <c r="D12" s="6" t="s">
        <v>265</v>
      </c>
      <c r="E12" t="s">
        <v>266</v>
      </c>
      <c r="F12" t="s">
        <v>108</v>
      </c>
    </row>
    <row r="13" spans="1:6" ht="60" customHeight="1" x14ac:dyDescent="0.2">
      <c r="B13" t="s">
        <v>267</v>
      </c>
      <c r="C13" s="9"/>
      <c r="D13" s="6" t="s">
        <v>268</v>
      </c>
      <c r="E13" t="s">
        <v>269</v>
      </c>
      <c r="F13" t="s">
        <v>108</v>
      </c>
    </row>
    <row r="14" spans="1:6" ht="60" customHeight="1" x14ac:dyDescent="0.2">
      <c r="B14" t="s">
        <v>270</v>
      </c>
      <c r="C14" s="9"/>
      <c r="D14" s="6" t="s">
        <v>271</v>
      </c>
      <c r="E14" t="s">
        <v>272</v>
      </c>
      <c r="F14" t="s">
        <v>108</v>
      </c>
    </row>
    <row r="15" spans="1:6" x14ac:dyDescent="0.2">
      <c r="B15" t="s">
        <v>273</v>
      </c>
      <c r="C15" s="8"/>
      <c r="D15" s="6"/>
      <c r="E15" t="s">
        <v>274</v>
      </c>
      <c r="F15" t="s">
        <v>43</v>
      </c>
    </row>
    <row r="16" spans="1:6" x14ac:dyDescent="0.2">
      <c r="B16" t="s">
        <v>275</v>
      </c>
      <c r="C16" s="8"/>
      <c r="D16" s="6"/>
      <c r="E16" t="s">
        <v>276</v>
      </c>
      <c r="F16" t="s">
        <v>43</v>
      </c>
    </row>
    <row r="17" spans="1:6" x14ac:dyDescent="0.2">
      <c r="B17" t="s">
        <v>277</v>
      </c>
      <c r="C17" s="8"/>
      <c r="D17" s="6"/>
      <c r="E17" t="s">
        <v>278</v>
      </c>
      <c r="F17" t="s">
        <v>53</v>
      </c>
    </row>
    <row r="18" spans="1:6" ht="60" customHeight="1" x14ac:dyDescent="0.2">
      <c r="B18" t="s">
        <v>279</v>
      </c>
      <c r="C18" s="9"/>
      <c r="D18" s="6" t="s">
        <v>280</v>
      </c>
      <c r="E18" t="s">
        <v>281</v>
      </c>
      <c r="F18" t="s">
        <v>108</v>
      </c>
    </row>
    <row r="19" spans="1:6" x14ac:dyDescent="0.2">
      <c r="A19" s="4" t="s">
        <v>282</v>
      </c>
      <c r="B19" t="s">
        <v>283</v>
      </c>
      <c r="C19" s="7"/>
      <c r="D19" s="6" t="s">
        <v>284</v>
      </c>
      <c r="E19" t="s">
        <v>285</v>
      </c>
      <c r="F19" t="s">
        <v>13</v>
      </c>
    </row>
    <row r="20" spans="1:6" x14ac:dyDescent="0.2">
      <c r="B20" t="s">
        <v>286</v>
      </c>
      <c r="C20" s="8">
        <v>1</v>
      </c>
      <c r="D20" s="6" t="s">
        <v>287</v>
      </c>
      <c r="E20" t="s">
        <v>288</v>
      </c>
      <c r="F20" t="s">
        <v>43</v>
      </c>
    </row>
    <row r="21" spans="1:6" ht="72" customHeight="1" x14ac:dyDescent="0.2">
      <c r="B21" t="s">
        <v>289</v>
      </c>
      <c r="C21" s="10"/>
      <c r="D21" s="6" t="s">
        <v>290</v>
      </c>
      <c r="E21" t="s">
        <v>291</v>
      </c>
      <c r="F21" t="s">
        <v>292</v>
      </c>
    </row>
    <row r="22" spans="1:6" ht="60" customHeight="1" x14ac:dyDescent="0.2">
      <c r="B22" t="s">
        <v>293</v>
      </c>
      <c r="C22" s="9"/>
      <c r="D22" s="6" t="s">
        <v>294</v>
      </c>
      <c r="E22" t="s">
        <v>295</v>
      </c>
      <c r="F22" t="s">
        <v>108</v>
      </c>
    </row>
    <row r="23" spans="1:6" ht="96" customHeight="1" x14ac:dyDescent="0.2">
      <c r="A23" s="4" t="s">
        <v>296</v>
      </c>
      <c r="B23" t="s">
        <v>297</v>
      </c>
      <c r="C23" s="10"/>
      <c r="D23" s="6" t="s">
        <v>298</v>
      </c>
      <c r="E23" t="s">
        <v>299</v>
      </c>
      <c r="F23" t="s">
        <v>300</v>
      </c>
    </row>
    <row r="24" spans="1:6" x14ac:dyDescent="0.2">
      <c r="B24" t="s">
        <v>301</v>
      </c>
      <c r="C24" s="8"/>
      <c r="D24" s="6" t="s">
        <v>302</v>
      </c>
      <c r="E24" t="s">
        <v>303</v>
      </c>
      <c r="F24" t="s">
        <v>43</v>
      </c>
    </row>
    <row r="25" spans="1:6" x14ac:dyDescent="0.2">
      <c r="B25" t="s">
        <v>304</v>
      </c>
      <c r="C25" s="8"/>
      <c r="D25" s="6" t="s">
        <v>305</v>
      </c>
      <c r="E25" t="s">
        <v>306</v>
      </c>
      <c r="F25" t="s">
        <v>43</v>
      </c>
    </row>
    <row r="26" spans="1:6" x14ac:dyDescent="0.2">
      <c r="A26" s="4" t="s">
        <v>307</v>
      </c>
      <c r="B26" t="s">
        <v>308</v>
      </c>
      <c r="C26" s="8"/>
      <c r="D26" s="6" t="s">
        <v>309</v>
      </c>
      <c r="E26" t="s">
        <v>310</v>
      </c>
      <c r="F26" t="s">
        <v>53</v>
      </c>
    </row>
    <row r="27" spans="1:6" x14ac:dyDescent="0.2">
      <c r="B27" t="s">
        <v>311</v>
      </c>
      <c r="C27" s="8"/>
      <c r="D27" s="6" t="s">
        <v>312</v>
      </c>
      <c r="E27" t="s">
        <v>313</v>
      </c>
      <c r="F27" t="s">
        <v>53</v>
      </c>
    </row>
    <row r="28" spans="1:6" x14ac:dyDescent="0.2">
      <c r="B28" t="s">
        <v>314</v>
      </c>
      <c r="C28" s="8"/>
      <c r="D28" s="6" t="s">
        <v>315</v>
      </c>
      <c r="E28" t="s">
        <v>316</v>
      </c>
      <c r="F28" t="s">
        <v>53</v>
      </c>
    </row>
    <row r="29" spans="1:6" x14ac:dyDescent="0.2">
      <c r="B29" t="s">
        <v>317</v>
      </c>
      <c r="C29" s="7"/>
      <c r="D29" s="6" t="s">
        <v>318</v>
      </c>
      <c r="E29" t="s">
        <v>319</v>
      </c>
      <c r="F29" t="s">
        <v>13</v>
      </c>
    </row>
    <row r="30" spans="1:6" x14ac:dyDescent="0.2">
      <c r="B30" t="s">
        <v>320</v>
      </c>
      <c r="C30" s="7" t="s">
        <v>129</v>
      </c>
      <c r="D30" s="6"/>
      <c r="E30" t="s">
        <v>321</v>
      </c>
      <c r="F30" t="s">
        <v>128</v>
      </c>
    </row>
    <row r="31" spans="1:6" x14ac:dyDescent="0.2">
      <c r="A31" s="4" t="s">
        <v>322</v>
      </c>
      <c r="B31" t="s">
        <v>323</v>
      </c>
      <c r="C31" s="8"/>
      <c r="D31" s="6" t="s">
        <v>324</v>
      </c>
      <c r="E31" t="s">
        <v>325</v>
      </c>
      <c r="F31" t="s">
        <v>43</v>
      </c>
    </row>
    <row r="32" spans="1:6" x14ac:dyDescent="0.2">
      <c r="B32" t="s">
        <v>326</v>
      </c>
      <c r="C32" s="8"/>
      <c r="D32" s="6" t="s">
        <v>327</v>
      </c>
      <c r="E32" t="s">
        <v>328</v>
      </c>
      <c r="F32" t="s">
        <v>43</v>
      </c>
    </row>
    <row r="33" spans="1:6" x14ac:dyDescent="0.2">
      <c r="B33" t="s">
        <v>329</v>
      </c>
      <c r="C33" s="8"/>
      <c r="D33" s="6" t="s">
        <v>330</v>
      </c>
      <c r="E33" t="s">
        <v>331</v>
      </c>
      <c r="F33" t="s">
        <v>53</v>
      </c>
    </row>
    <row r="34" spans="1:6" x14ac:dyDescent="0.2">
      <c r="B34" t="s">
        <v>332</v>
      </c>
      <c r="C34" s="7" t="s">
        <v>129</v>
      </c>
      <c r="D34" s="6"/>
      <c r="E34" t="s">
        <v>333</v>
      </c>
      <c r="F34" t="s">
        <v>128</v>
      </c>
    </row>
    <row r="35" spans="1:6" x14ac:dyDescent="0.2">
      <c r="B35" t="s">
        <v>133</v>
      </c>
      <c r="C35" s="7" t="s">
        <v>129</v>
      </c>
      <c r="D35" s="6"/>
      <c r="E35" t="s">
        <v>334</v>
      </c>
      <c r="F35" t="s">
        <v>128</v>
      </c>
    </row>
    <row r="36" spans="1:6" x14ac:dyDescent="0.2">
      <c r="B36" t="s">
        <v>137</v>
      </c>
      <c r="C36" s="7" t="s">
        <v>129</v>
      </c>
      <c r="D36" s="6"/>
      <c r="E36" t="s">
        <v>335</v>
      </c>
      <c r="F36" t="s">
        <v>128</v>
      </c>
    </row>
    <row r="37" spans="1:6" x14ac:dyDescent="0.2">
      <c r="A37" s="4" t="s">
        <v>336</v>
      </c>
      <c r="B37" t="s">
        <v>337</v>
      </c>
      <c r="C37" s="8"/>
      <c r="D37" s="6" t="s">
        <v>338</v>
      </c>
      <c r="E37" t="s">
        <v>339</v>
      </c>
      <c r="F37" t="s">
        <v>43</v>
      </c>
    </row>
    <row r="38" spans="1:6" x14ac:dyDescent="0.2">
      <c r="B38" t="s">
        <v>340</v>
      </c>
      <c r="C38" s="8"/>
      <c r="D38" s="6" t="s">
        <v>341</v>
      </c>
      <c r="E38" t="s">
        <v>342</v>
      </c>
      <c r="F38" t="s">
        <v>43</v>
      </c>
    </row>
    <row r="39" spans="1:6" x14ac:dyDescent="0.2">
      <c r="B39" t="s">
        <v>343</v>
      </c>
      <c r="C39" s="8"/>
      <c r="D39" s="6" t="s">
        <v>341</v>
      </c>
      <c r="E39" t="s">
        <v>344</v>
      </c>
      <c r="F39" t="s">
        <v>43</v>
      </c>
    </row>
    <row r="40" spans="1:6" x14ac:dyDescent="0.2">
      <c r="B40" t="s">
        <v>345</v>
      </c>
      <c r="C40" s="8"/>
      <c r="D40" s="6" t="s">
        <v>341</v>
      </c>
      <c r="E40" t="s">
        <v>346</v>
      </c>
      <c r="F40" t="s">
        <v>43</v>
      </c>
    </row>
    <row r="41" spans="1:6" x14ac:dyDescent="0.2">
      <c r="B41" t="s">
        <v>347</v>
      </c>
      <c r="C41" s="8"/>
      <c r="D41" s="6" t="s">
        <v>341</v>
      </c>
      <c r="E41" t="s">
        <v>348</v>
      </c>
      <c r="F41" t="s">
        <v>43</v>
      </c>
    </row>
    <row r="42" spans="1:6" x14ac:dyDescent="0.2">
      <c r="B42" t="s">
        <v>166</v>
      </c>
      <c r="C42" s="8"/>
      <c r="D42" s="6"/>
      <c r="E42" t="s">
        <v>168</v>
      </c>
      <c r="F42" t="s">
        <v>43</v>
      </c>
    </row>
    <row r="43" spans="1:6" x14ac:dyDescent="0.2">
      <c r="B43" t="s">
        <v>349</v>
      </c>
      <c r="C43" s="8">
        <v>12</v>
      </c>
      <c r="D43" s="6"/>
      <c r="E43" t="s">
        <v>350</v>
      </c>
      <c r="F43" t="s">
        <v>43</v>
      </c>
    </row>
    <row r="44" spans="1:6" ht="60" customHeight="1" x14ac:dyDescent="0.2">
      <c r="A44" s="4" t="s">
        <v>351</v>
      </c>
      <c r="B44" t="s">
        <v>352</v>
      </c>
      <c r="C44" s="10"/>
      <c r="D44" s="6" t="s">
        <v>353</v>
      </c>
      <c r="E44" t="s">
        <v>354</v>
      </c>
      <c r="F44" t="s">
        <v>355</v>
      </c>
    </row>
    <row r="45" spans="1:6" ht="48" customHeight="1" x14ac:dyDescent="0.2">
      <c r="A45" s="4" t="s">
        <v>356</v>
      </c>
      <c r="B45" t="s">
        <v>357</v>
      </c>
      <c r="C45" s="10"/>
      <c r="D45" s="6" t="s">
        <v>358</v>
      </c>
      <c r="E45" t="s">
        <v>359</v>
      </c>
      <c r="F45" t="s">
        <v>360</v>
      </c>
    </row>
    <row r="46" spans="1:6" ht="48" customHeight="1" x14ac:dyDescent="0.2">
      <c r="B46" t="s">
        <v>361</v>
      </c>
      <c r="C46" s="10"/>
      <c r="D46" s="6" t="s">
        <v>362</v>
      </c>
      <c r="E46" t="s">
        <v>363</v>
      </c>
      <c r="F46" t="s">
        <v>364</v>
      </c>
    </row>
    <row r="47" spans="1:6" x14ac:dyDescent="0.2">
      <c r="A47" s="4" t="s">
        <v>172</v>
      </c>
      <c r="B47" t="s">
        <v>173</v>
      </c>
      <c r="C47" s="7"/>
      <c r="D47" s="6" t="s">
        <v>247</v>
      </c>
      <c r="E47" t="s">
        <v>175</v>
      </c>
      <c r="F47" t="s">
        <v>70</v>
      </c>
    </row>
    <row r="48" spans="1:6" ht="99.95" customHeight="1" x14ac:dyDescent="0.2">
      <c r="A48" s="4" t="s">
        <v>176</v>
      </c>
      <c r="B48" t="s">
        <v>365</v>
      </c>
      <c r="C48" s="9"/>
      <c r="D48" s="6" t="s">
        <v>366</v>
      </c>
      <c r="E48" t="s">
        <v>367</v>
      </c>
      <c r="F48" t="s">
        <v>180</v>
      </c>
    </row>
    <row r="49" spans="2:6" ht="99.95" customHeight="1" x14ac:dyDescent="0.2">
      <c r="B49" t="s">
        <v>368</v>
      </c>
      <c r="C49" s="9"/>
      <c r="D49" s="6" t="s">
        <v>369</v>
      </c>
      <c r="E49" t="s">
        <v>370</v>
      </c>
      <c r="F49" t="s">
        <v>180</v>
      </c>
    </row>
    <row r="50" spans="2:6" ht="99.95" customHeight="1" x14ac:dyDescent="0.2">
      <c r="B50" t="s">
        <v>371</v>
      </c>
      <c r="C50" s="9"/>
      <c r="D50" s="6" t="s">
        <v>372</v>
      </c>
      <c r="E50" t="s">
        <v>373</v>
      </c>
      <c r="F50" t="s">
        <v>180</v>
      </c>
    </row>
    <row r="51" spans="2:6" ht="99.95" customHeight="1" x14ac:dyDescent="0.2">
      <c r="B51" t="s">
        <v>374</v>
      </c>
      <c r="C51" s="9"/>
      <c r="D51" s="6" t="s">
        <v>375</v>
      </c>
      <c r="E51" t="s">
        <v>376</v>
      </c>
      <c r="F51" t="s">
        <v>180</v>
      </c>
    </row>
    <row r="52" spans="2:6" ht="99.95" customHeight="1" x14ac:dyDescent="0.2">
      <c r="B52" t="s">
        <v>377</v>
      </c>
      <c r="C52" s="9"/>
      <c r="D52" s="6" t="s">
        <v>378</v>
      </c>
      <c r="E52" t="s">
        <v>379</v>
      </c>
      <c r="F52" t="s">
        <v>180</v>
      </c>
    </row>
    <row r="53" spans="2:6" ht="99.95" customHeight="1" x14ac:dyDescent="0.2">
      <c r="B53" t="s">
        <v>380</v>
      </c>
      <c r="C53" s="9"/>
      <c r="D53" s="6" t="s">
        <v>381</v>
      </c>
      <c r="E53" t="s">
        <v>382</v>
      </c>
      <c r="F53" t="s">
        <v>180</v>
      </c>
    </row>
    <row r="54" spans="2:6" ht="99.95" customHeight="1" x14ac:dyDescent="0.2">
      <c r="B54" t="s">
        <v>383</v>
      </c>
      <c r="C54" s="9"/>
      <c r="D54" s="6" t="s">
        <v>384</v>
      </c>
      <c r="E54" t="s">
        <v>385</v>
      </c>
      <c r="F54" t="s">
        <v>180</v>
      </c>
    </row>
    <row r="55" spans="2:6" ht="99.95" customHeight="1" x14ac:dyDescent="0.2">
      <c r="B55" t="s">
        <v>386</v>
      </c>
      <c r="C55" s="9"/>
      <c r="D55" s="6" t="s">
        <v>387</v>
      </c>
      <c r="E55" t="s">
        <v>388</v>
      </c>
      <c r="F55" t="s">
        <v>180</v>
      </c>
    </row>
    <row r="56" spans="2:6" ht="99.95" customHeight="1" x14ac:dyDescent="0.2">
      <c r="B56" t="s">
        <v>190</v>
      </c>
      <c r="C56" s="9"/>
      <c r="D56" s="6" t="s">
        <v>389</v>
      </c>
      <c r="E56" t="s">
        <v>192</v>
      </c>
      <c r="F56" t="s">
        <v>180</v>
      </c>
    </row>
  </sheetData>
  <mergeCells count="2">
    <mergeCell ref="A1:D1"/>
    <mergeCell ref="C2:D2"/>
  </mergeCells>
  <phoneticPr fontId="7" type="noConversion"/>
  <dataValidations count="3">
    <dataValidation type="list" allowBlank="1" showInputMessage="1" showErrorMessage="1" sqref="C8" xr:uid="{33DC4C67-ACE8-4D17-A949-8141137214E0}">
      <formula1>"draft,active,deprecated"</formula1>
    </dataValidation>
    <dataValidation type="list" allowBlank="1" showInputMessage="1" showErrorMessage="1" sqref="C11" xr:uid="{33A145AA-D79C-438B-8C4B-0B56E3A38F02}">
      <formula1>"概念,验证中,已交付,标准化"</formula1>
    </dataValidation>
    <dataValidation type="list" allowBlank="1" showInputMessage="1" showErrorMessage="1" sqref="C30 C34 C35 C36" xr:uid="{5D56E4CC-16A9-417C-B7B2-8EE833AD10E6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ClearCurrentInput">
                <anchor moveWithCells="1" sizeWithCells="1">
                  <from>
                    <xdr:col>0</xdr:col>
                    <xdr:colOff>76200</xdr:colOff>
                    <xdr:row>2</xdr:row>
                    <xdr:rowOff>47625</xdr:rowOff>
                  </from>
                  <to>
                    <xdr:col>1</xdr:col>
                    <xdr:colOff>457200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ClearAllInputs">
                <anchor moveWithCells="1" sizeWithCells="1">
                  <from>
                    <xdr:col>1</xdr:col>
                    <xdr:colOff>561975</xdr:colOff>
                    <xdr:row>2</xdr:row>
                    <xdr:rowOff>47625</xdr:rowOff>
                  </from>
                  <to>
                    <xdr:col>1</xdr:col>
                    <xdr:colOff>2209800</xdr:colOff>
                    <xdr:row>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ExportToMD">
                <anchor moveWithCells="1" sizeWithCells="1">
                  <from>
                    <xdr:col>1</xdr:col>
                    <xdr:colOff>2314575</xdr:colOff>
                    <xdr:row>2</xdr:row>
                    <xdr:rowOff>47625</xdr:rowOff>
                  </from>
                  <to>
                    <xdr:col>2</xdr:col>
                    <xdr:colOff>2514600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7B9C3-E01E-44C2-AC18-002674E8272C}">
  <sheetPr codeName="Sheet4"/>
  <dimension ref="A1:B3"/>
  <sheetViews>
    <sheetView workbookViewId="0"/>
  </sheetViews>
  <sheetFormatPr defaultRowHeight="14.25" x14ac:dyDescent="0.2"/>
  <cols>
    <col min="1" max="1" width="12.625" customWidth="1"/>
    <col min="2" max="2" width="80.625" customWidth="1"/>
  </cols>
  <sheetData>
    <row r="1" spans="1:2" ht="409.5" x14ac:dyDescent="0.2">
      <c r="A1" t="s">
        <v>390</v>
      </c>
      <c r="B1" s="5" t="s">
        <v>391</v>
      </c>
    </row>
    <row r="2" spans="1:2" ht="409.5" x14ac:dyDescent="0.2">
      <c r="A2" t="s">
        <v>392</v>
      </c>
      <c r="B2" s="5" t="s">
        <v>393</v>
      </c>
    </row>
    <row r="3" spans="1:2" ht="409.5" x14ac:dyDescent="0.2">
      <c r="A3" t="s">
        <v>394</v>
      </c>
      <c r="B3" s="5" t="s">
        <v>395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01-卡片输入-模块</vt:lpstr>
      <vt:lpstr>02-卡片输入-平台</vt:lpstr>
      <vt:lpstr>03-卡片输入-方案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Stone Bright</dc:creator>
  <cp:lastModifiedBy>Stone Bright</cp:lastModifiedBy>
  <dcterms:created xsi:type="dcterms:W3CDTF">2026-05-04T03:16:51Z</dcterms:created>
  <dcterms:modified xsi:type="dcterms:W3CDTF">2026-05-04T03:21:38Z</dcterms:modified>
</cp:coreProperties>
</file>