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2" activeTab="2"/>
  </bookViews>
  <sheets>
    <sheet name="深圳" sheetId="1" state="hidden" r:id="rId1"/>
    <sheet name="深圳测试数据统计" sheetId="3" state="hidden" r:id="rId2"/>
    <sheet name="研发模块" sheetId="4" r:id="rId3"/>
    <sheet name="生产模块" sheetId="5" r:id="rId4"/>
  </sheets>
  <definedNames>
    <definedName name="_xlnm._FilterDatabase" localSheetId="1" hidden="1">深圳测试数据统计!$A$2:$Q$42</definedName>
    <definedName name="_xlnm._FilterDatabase" localSheetId="2" hidden="1">研发模块!$A$3:$V$135</definedName>
    <definedName name="_xlnm._FilterDatabase" localSheetId="3" hidden="1">生产模块!$A$2:$AW$165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user</author>
  </authors>
  <commentList>
    <comment ref="D70" authorId="0">
      <text>
        <r>
          <rPr>
            <b/>
            <sz val="9"/>
            <rFont val="宋体"/>
            <charset val="134"/>
          </rPr>
          <t xml:space="preserve">需要在米工团队测试，24号前完成测试通过
</t>
        </r>
      </text>
    </comment>
    <comment ref="D71" authorId="1">
      <text>
        <r>
          <rPr>
            <b/>
            <sz val="9"/>
            <rFont val="宋体"/>
            <charset val="134"/>
          </rPr>
          <t xml:space="preserve">需要在米工团队测试，24号前完成测试通过
</t>
        </r>
      </text>
    </comment>
  </commentList>
</comments>
</file>

<file path=xl/sharedStrings.xml><?xml version="1.0" encoding="utf-8"?>
<sst xmlns="http://schemas.openxmlformats.org/spreadsheetml/2006/main" count="3380" uniqueCount="1266">
  <si>
    <t>行号</t>
  </si>
  <si>
    <t>模块</t>
  </si>
  <si>
    <t>规格</t>
  </si>
  <si>
    <t>模块名称</t>
  </si>
  <si>
    <t>机构负责人</t>
  </si>
  <si>
    <t>电控负责人</t>
  </si>
  <si>
    <t>测试日期</t>
  </si>
  <si>
    <t>问题分类</t>
  </si>
  <si>
    <t>问题描述</t>
  </si>
  <si>
    <t>机构问题</t>
  </si>
  <si>
    <t>电控问题</t>
  </si>
  <si>
    <t>原因分析</t>
  </si>
  <si>
    <t>处理方式</t>
  </si>
  <si>
    <t>迭代计划</t>
  </si>
  <si>
    <t>预计解决日期</t>
  </si>
  <si>
    <t>实际解决日期</t>
  </si>
  <si>
    <t>处理结果</t>
  </si>
  <si>
    <t>过膜</t>
  </si>
  <si>
    <t>6cc</t>
  </si>
  <si>
    <t>过膜模块</t>
  </si>
  <si>
    <t>王志</t>
  </si>
  <si>
    <t>肖国洪</t>
  </si>
  <si>
    <t>机构设计</t>
  </si>
  <si>
    <t>Y轴运动声音很大</t>
  </si>
  <si>
    <t>√</t>
  </si>
  <si>
    <t>对丝杆要进行优化</t>
  </si>
  <si>
    <t>更换丝杆</t>
  </si>
  <si>
    <t>当前版本</t>
  </si>
  <si>
    <t>解决</t>
  </si>
  <si>
    <t>装配</t>
  </si>
  <si>
    <t>电夹爪左边拧不下瓶盖</t>
  </si>
  <si>
    <t>夹紧时瓶子会倾斜</t>
  </si>
  <si>
    <t>夹瓶结构优化</t>
  </si>
  <si>
    <t>2024.11.15</t>
  </si>
  <si>
    <t>终止测试</t>
  </si>
  <si>
    <t>选材</t>
  </si>
  <si>
    <t>上料托盘架两边不一样平</t>
  </si>
  <si>
    <t>1.5ml小瓶装盖报警频繁</t>
  </si>
  <si>
    <t>夹爪夹不紧</t>
  </si>
  <si>
    <t>更改夹爪</t>
  </si>
  <si>
    <t>离心管加盐涡旋</t>
  </si>
  <si>
    <t>50ml</t>
  </si>
  <si>
    <t>50ml加盐涡旋模块</t>
  </si>
  <si>
    <t>高新章</t>
  </si>
  <si>
    <t>一个夹爪掉落，其他三个松掉</t>
  </si>
  <si>
    <t>手指杆螺纹松动</t>
  </si>
  <si>
    <t>拧紧处理，打螺丝胶</t>
  </si>
  <si>
    <t>已解决</t>
  </si>
  <si>
    <t>上位机</t>
  </si>
  <si>
    <t>盐管放回托盘放不到底</t>
  </si>
  <si>
    <t>搬运轴点位跑偏/开合盖Y轴没有走到位</t>
  </si>
  <si>
    <t>重新对点</t>
  </si>
  <si>
    <t>50ml加盐涡旋</t>
  </si>
  <si>
    <t>忽略</t>
  </si>
  <si>
    <t>左边离心管涡旋时会转动</t>
  </si>
  <si>
    <t>模块Y轴轨道生锈</t>
  </si>
  <si>
    <t>盐腐蚀</t>
  </si>
  <si>
    <t>除锈，抹油</t>
  </si>
  <si>
    <t>未解决</t>
  </si>
  <si>
    <t>盐罐载台运行已经变形，盐管卡了几次导致的</t>
  </si>
  <si>
    <t>受力不均匀导致结构稳定性失衡</t>
  </si>
  <si>
    <t>更换失效零件</t>
  </si>
  <si>
    <t>涡旋噪音85±</t>
  </si>
  <si>
    <t>可能是涡旋转速过高</t>
  </si>
  <si>
    <t>调整转速，降低噪音/忽略</t>
  </si>
  <si>
    <t>电控程序</t>
  </si>
  <si>
    <t>涡旋时，速度会变小，又变大</t>
  </si>
  <si>
    <t>只听到噪音变化，没观察到转速变化</t>
  </si>
  <si>
    <t>待观察</t>
  </si>
  <si>
    <t>9.25-9.30</t>
  </si>
  <si>
    <t>去瓶盖Y轴断裂</t>
  </si>
  <si>
    <t>更换Y轴</t>
  </si>
  <si>
    <t>加盐涡旋把瓶盖摇松，</t>
  </si>
  <si>
    <t>顺时针转</t>
  </si>
  <si>
    <t>改成逆时针涡旋</t>
  </si>
  <si>
    <t>拆盐管盖时，声音很大</t>
  </si>
  <si>
    <t>改成树脂盐管</t>
  </si>
  <si>
    <t>离心管拧盖时，盖子掉下来了</t>
  </si>
  <si>
    <t>涡旋盖子上的垫片掉了</t>
  </si>
  <si>
    <t>更换垫片</t>
  </si>
  <si>
    <t>加盐完毕后，盐罐底部剩一点</t>
  </si>
  <si>
    <t>盐罐要放烘箱里边烘干</t>
  </si>
  <si>
    <t>生产用盐管铝箔纸包好</t>
  </si>
  <si>
    <t>涡旋时盖子会松掉，液体都溅出来了</t>
  </si>
  <si>
    <t>拧盖子z轴声音大</t>
  </si>
  <si>
    <t>拧的时候没有同时上升，导致会有声音</t>
  </si>
  <si>
    <t>PLC处理</t>
  </si>
  <si>
    <t>检测有无离心管光电位置不对</t>
  </si>
  <si>
    <t>Y 轴可以继续前移</t>
  </si>
  <si>
    <t>PLC调整</t>
  </si>
  <si>
    <t>测出来在2600转时，噪音跟 液体量有关系，35ml是个分界线，高于噪音大，低于噪音小</t>
  </si>
  <si>
    <t>离心浓缩</t>
  </si>
  <si>
    <t>离心浓缩模块</t>
  </si>
  <si>
    <t>宾俊</t>
  </si>
  <si>
    <t>浓缩OLD端噪音大</t>
  </si>
  <si>
    <t>轴承有问题</t>
  </si>
  <si>
    <t>换轴</t>
  </si>
  <si>
    <t>35ml浓缩模块</t>
  </si>
  <si>
    <t>李国强</t>
  </si>
  <si>
    <t>两个垫片掉落</t>
  </si>
  <si>
    <t>高温+酒精对 胶的黏性有影响</t>
  </si>
  <si>
    <t>新做瓶子密封旋转零件，零预计5号到公司后进行更换</t>
  </si>
  <si>
    <t>35ml</t>
  </si>
  <si>
    <t>浓缩模块</t>
  </si>
  <si>
    <t>浓缩密封性不够，漏气</t>
  </si>
  <si>
    <t>35ml浓缩气缸下压不够，信号没反馈</t>
  </si>
  <si>
    <t>测试老是报警，气缸压力不够</t>
  </si>
  <si>
    <t>机械运行没有问题</t>
  </si>
  <si>
    <t>装压力表在模块附近，检查是否是气压不稳定导致，检查程序</t>
  </si>
  <si>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康龙的35ml浓缩，出风口左右两边不一致</t>
    </r>
  </si>
  <si>
    <t>出风腔体贯通，导致出风不一致</t>
  </si>
  <si>
    <t>把腔体改成独立的</t>
  </si>
  <si>
    <t>10ml</t>
  </si>
  <si>
    <t>10ml浓缩模块</t>
  </si>
  <si>
    <t>热风口左边的不热，右边的热</t>
  </si>
  <si>
    <t>浓缩噪音85+</t>
  </si>
  <si>
    <t>轴承发现有玻璃碎屑，和锁紧螺母松动</t>
  </si>
  <si>
    <t>已经更换新的轴承</t>
  </si>
  <si>
    <t>载台+气缸+瓶子上下不同心</t>
  </si>
  <si>
    <t>康龙35ml浓缩</t>
  </si>
  <si>
    <t>35ml西林瓶规格不一致，导致浓缩完取瓶子困难</t>
  </si>
  <si>
    <t>离心</t>
  </si>
  <si>
    <t>2ml*4</t>
  </si>
  <si>
    <t>离心机2ml*4</t>
  </si>
  <si>
    <t>杨宇</t>
  </si>
  <si>
    <t>离心过程中产生白色粉末</t>
  </si>
  <si>
    <t>保温层脱落，离心撞击产生的</t>
  </si>
  <si>
    <t>去掉了保温层</t>
  </si>
  <si>
    <t>离心过程中声音大</t>
  </si>
  <si>
    <t>管口密封性不好</t>
  </si>
  <si>
    <t>加厚了密封垫，</t>
  </si>
  <si>
    <t>管口气缸连接处产生噪音</t>
  </si>
  <si>
    <t>去掉了管口气缸，评估不影响管口盖子</t>
  </si>
  <si>
    <t>真空泵声音大</t>
  </si>
  <si>
    <t>泵本身的声音大</t>
  </si>
  <si>
    <r>
      <rPr>
        <sz val="11"/>
        <color rgb="FF000000"/>
        <rFont val="宋体"/>
        <charset val="134"/>
        <scheme val="minor"/>
      </rPr>
      <t>添加了隔音棉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有效果，还是偏大</t>
    </r>
  </si>
  <si>
    <t>制冷机门口产生噪音</t>
  </si>
  <si>
    <t>门密封性不够</t>
  </si>
  <si>
    <t>添加了关门的垫支</t>
  </si>
  <si>
    <t>管口有水产生</t>
  </si>
  <si>
    <t>改成了钛钢材料的管口</t>
  </si>
  <si>
    <t>抽真空达到-90左右，太高了，-70就可以了</t>
  </si>
  <si>
    <t>添加调压阀，还没安装</t>
  </si>
  <si>
    <t>发生过一次冷媒泄露</t>
  </si>
  <si>
    <t>没找到原因</t>
  </si>
  <si>
    <t>塑料管改成了铜管</t>
  </si>
  <si>
    <t>离心机到现场安装太麻烦</t>
  </si>
  <si>
    <r>
      <rPr>
        <sz val="11"/>
        <color rgb="FF000000"/>
        <rFont val="宋体"/>
        <charset val="134"/>
        <scheme val="minor"/>
      </rPr>
      <t>1、现场需要氮气保压测试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2、需要抽真空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3、需要加冷媒</t>
    </r>
  </si>
  <si>
    <t>下个版本</t>
  </si>
  <si>
    <t>真空泵积水多，会不会损坏泵</t>
  </si>
  <si>
    <t>运行过程中会把水蒸发掉</t>
  </si>
  <si>
    <t>50ml离心机</t>
  </si>
  <si>
    <t>真空泵 储水瓶 蒸发不干，2ml可以蒸发干</t>
  </si>
  <si>
    <t>实验结束打开盖子抽真空20min</t>
  </si>
  <si>
    <t>12000转噪音在85-90分贝</t>
  </si>
  <si>
    <t>电机或轴有问题</t>
  </si>
  <si>
    <r>
      <rPr>
        <sz val="11"/>
        <color rgb="FF000000"/>
        <rFont val="宋体"/>
        <charset val="134"/>
        <scheme val="minor"/>
      </rPr>
      <t>电机轴有问题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更换电机，12000转噪音控制在70分贝以下</t>
    </r>
  </si>
  <si>
    <t>50ml离心模块</t>
  </si>
  <si>
    <t>转速10000Prm时，声贝95-100</t>
  </si>
  <si>
    <t>电机本体发出的声音与转盘转动风阻声音</t>
  </si>
  <si>
    <r>
      <rPr>
        <sz val="11"/>
        <color rgb="FF000000"/>
        <rFont val="宋体"/>
        <charset val="134"/>
        <scheme val="minor"/>
      </rPr>
      <t>加上金属外罩测试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加隔音棉+罩子 测试（稳定在90分贝） 8000转验收</t>
    </r>
  </si>
  <si>
    <t>重复</t>
  </si>
  <si>
    <t>电机很烫</t>
  </si>
  <si>
    <t>未开制冷，电机在内腔无法散热</t>
  </si>
  <si>
    <t>开启制冷20分钟测试电机温度41度</t>
  </si>
  <si>
    <t>机柜风扇处要添加 防护网</t>
  </si>
  <si>
    <t>未安装铁网</t>
  </si>
  <si>
    <t>安装铁网</t>
  </si>
  <si>
    <t>2ml*6管离心机</t>
  </si>
  <si>
    <t>15000转时，温度降不下来，在8°左右</t>
  </si>
  <si>
    <r>
      <rPr>
        <sz val="11"/>
        <color rgb="FF000000"/>
        <rFont val="宋体"/>
        <charset val="134"/>
        <scheme val="minor"/>
      </rPr>
      <t>目前判断铝制内胆导热慢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测试判断为空气摩擦产生的热量，同一工况下真空-61Kpa，温度上升到11°；真空-77Kpa，温度上升到8°</t>
    </r>
  </si>
  <si>
    <t>提高真空度</t>
  </si>
  <si>
    <t>2ml*6管离心机模块</t>
  </si>
  <si>
    <t>冷媒接口处没密封，容易结冰积水</t>
  </si>
  <si>
    <t>制冷铜管接触内胆与盖板，盖板温度较底；</t>
  </si>
  <si>
    <t>需要从新设计</t>
  </si>
  <si>
    <t>重复问题</t>
  </si>
  <si>
    <t>转速在10000转，噪音在95-100分贝</t>
  </si>
  <si>
    <t>10000转真空在-85Kpa时噪音在95-100分贝；真空在-90Kpa时，噪音在90分贝</t>
  </si>
  <si>
    <t>更换吸力更大真空泵验证</t>
  </si>
  <si>
    <t>转速在10000转，Y轴位移305，Z轴位移176</t>
  </si>
  <si>
    <t>目前无法分析原因</t>
  </si>
  <si>
    <t>需要多测试参数后对比具体</t>
  </si>
  <si>
    <t>转速在10000转，温度在7-8 摄氏度，降不下去</t>
  </si>
  <si>
    <t>测试判断为空气摩擦产生的热量</t>
  </si>
  <si>
    <t>转速在10000转，离心管会裂痕</t>
  </si>
  <si>
    <t>供应商答复离心管极限在11000转</t>
  </si>
  <si>
    <t>尝试更换新试管</t>
  </si>
  <si>
    <t>测试一天，管口有水珠</t>
  </si>
  <si>
    <t>隔温棉没覆盖到</t>
  </si>
  <si>
    <t>添加隔温棉</t>
  </si>
  <si>
    <r>
      <rPr>
        <sz val="11"/>
        <color rgb="FF000000"/>
        <rFont val="宋体"/>
        <charset val="134"/>
        <scheme val="minor"/>
      </rPr>
      <t>离心机降温到-2°，比指定温度3°，多降了5°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做到±1°</t>
    </r>
  </si>
  <si>
    <t>通过电磁阀的开关阻断冷媒，无法精准控制</t>
  </si>
  <si>
    <t>通过PLC程序控制温度，设定温度提前1°-2°关闭冷媒进桶电磁阀</t>
  </si>
  <si>
    <t>离心机制冷真空设备</t>
  </si>
  <si>
    <t>真空泵的声音有点大 85-90</t>
  </si>
  <si>
    <t>是真空泵本体与机柜共振噪音</t>
  </si>
  <si>
    <t>可尝试关了机柜门，间隔半米测试噪音</t>
  </si>
  <si>
    <t>加完垫片离心机表面的水更多了</t>
  </si>
  <si>
    <t>未贴隔热棉</t>
  </si>
  <si>
    <t>先贴隔热棉</t>
  </si>
  <si>
    <t>测试中</t>
  </si>
  <si>
    <t>离心机和平台不兼容，取放离心管有干涉</t>
  </si>
  <si>
    <t>平台Z轴过长</t>
  </si>
  <si>
    <t>修改平台Z轴长度</t>
  </si>
  <si>
    <t>15ml离心机</t>
  </si>
  <si>
    <t>压缩机外壳有水珠</t>
  </si>
  <si>
    <t>冷媒过多</t>
  </si>
  <si>
    <t>减少冷媒</t>
  </si>
  <si>
    <t>15ml*4管离心机</t>
  </si>
  <si>
    <t>10000转时检测到声音最大88分贝。压缩机的冷媒还需要再放一点</t>
  </si>
  <si>
    <t>电机轴承噪音与风摩擦的震动噪音</t>
  </si>
  <si>
    <t>优先更换电机</t>
  </si>
  <si>
    <t>待定</t>
  </si>
  <si>
    <t>试管装入10ml水测试时，运行速度达不到10000转。</t>
  </si>
  <si>
    <t>暂时判断驱动器参数问题</t>
  </si>
  <si>
    <t>优先调节驱动器参数</t>
  </si>
  <si>
    <t>离心机</t>
  </si>
  <si>
    <t>外界</t>
  </si>
  <si>
    <r>
      <rPr>
        <sz val="11"/>
        <color rgb="FF000000"/>
        <rFont val="宋体"/>
        <charset val="134"/>
        <scheme val="minor"/>
      </rPr>
      <t>空气湿度比例在30左右，管口+管壁没有冷凝水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湿度比例在45+ ，凝冷水明显</t>
    </r>
  </si>
  <si>
    <t>怎么判定离心管成功放入离心机</t>
  </si>
  <si>
    <t>无感应器检测</t>
  </si>
  <si>
    <t>机械夹爪增加感应器检测</t>
  </si>
  <si>
    <t>50ml*4管离心机</t>
  </si>
  <si>
    <t>制冷速度下降，冷媒压力下降</t>
  </si>
  <si>
    <t>上周改平台夹爪时搬运过程中离心机扭到铜管导致；接头位置容易泄露</t>
  </si>
  <si>
    <t>增加冷媒；检查接头有没有松掉</t>
  </si>
  <si>
    <t>离心管在温度50+，底部变形</t>
  </si>
  <si>
    <t>不制冷，连续5分钟启停导致，温度在56°导致</t>
  </si>
  <si>
    <t>需考虑实际应用场景分析</t>
  </si>
  <si>
    <t>电机在8000转异响，85+分贝</t>
  </si>
  <si>
    <t>移液枪</t>
  </si>
  <si>
    <t>移液枪10ml</t>
  </si>
  <si>
    <t>何向东</t>
  </si>
  <si>
    <t>在5000次的时候，精度从3‰下降到8‰</t>
  </si>
  <si>
    <t>皮带磨损，调整了轮子的高度</t>
  </si>
  <si>
    <t>2号测试平台1移液枪</t>
  </si>
  <si>
    <t>密封性不够，吸液完静置时，有水珠</t>
  </si>
  <si>
    <r>
      <rPr>
        <sz val="11"/>
        <color rgb="FF000000"/>
        <rFont val="宋体"/>
        <charset val="134"/>
        <scheme val="minor"/>
      </rPr>
      <t>枪头没插紧；</t>
    </r>
    <r>
      <rPr>
        <sz val="11"/>
        <color rgb="FFDE3C36"/>
        <rFont val="宋体"/>
        <charset val="134"/>
        <scheme val="minor"/>
      </rPr>
      <t>枪头的选型</t>
    </r>
  </si>
  <si>
    <t>重新插枪头</t>
  </si>
  <si>
    <t>1ml</t>
  </si>
  <si>
    <t>1ml移液枪</t>
  </si>
  <si>
    <t>周天成</t>
  </si>
  <si>
    <t>轴有间隙，影响精度</t>
  </si>
  <si>
    <t>有间隙</t>
  </si>
  <si>
    <t>消除间隙</t>
  </si>
  <si>
    <t>吐枪头吐不下来</t>
  </si>
  <si>
    <t>T型螺杆连接处松动</t>
  </si>
  <si>
    <t>打胶将T型螺杆与连接杆固定</t>
  </si>
  <si>
    <t>1ml移液枪头</t>
  </si>
  <si>
    <t>枪头没退下来，接着去取下一个枪头，叠罗汉了</t>
  </si>
  <si>
    <t>退枪头零件行程不到位，</t>
  </si>
  <si>
    <t>改结构</t>
  </si>
  <si>
    <t>5ml</t>
  </si>
  <si>
    <t>5ml移液枪</t>
  </si>
  <si>
    <t>枪头退不下来</t>
  </si>
  <si>
    <t>零件不匹配，退枪头行程不够</t>
  </si>
  <si>
    <t>做零件</t>
  </si>
  <si>
    <t>回原点枪头会掉</t>
  </si>
  <si>
    <t>感应片不够长</t>
  </si>
  <si>
    <t>腔体总容积5.3ml，回吸量太少（行程不够）</t>
  </si>
  <si>
    <t>取枪头时，零件会碰到托盘上的枪头</t>
  </si>
  <si>
    <t>用的是10ml移液枪的零件，不适配</t>
  </si>
  <si>
    <t>设计加工固定移液枪零件，已经下图</t>
  </si>
  <si>
    <t>10ml移液枪</t>
  </si>
  <si>
    <t>Z轴枪体电机报警</t>
  </si>
  <si>
    <t>电机轴和同步带脱离，</t>
  </si>
  <si>
    <t>加限位阀</t>
  </si>
  <si>
    <t>吸液数据偏差太大了</t>
  </si>
  <si>
    <t>活塞杆有一个段5mm圆柱度、粗糙度超差，将O型圈磨损过多</t>
  </si>
  <si>
    <t>退回供应商返修</t>
  </si>
  <si>
    <t>1ml移液枪头 黑乎乎的</t>
  </si>
  <si>
    <t>枪体的线没理好；3号测试平台移液枪误差多了1%</t>
  </si>
  <si>
    <t>O型圈上粘有碎屑，磨损过多</t>
  </si>
  <si>
    <t>清理活塞杆，更换O型圈</t>
  </si>
  <si>
    <t>标准平台</t>
  </si>
  <si>
    <t>2号平台</t>
  </si>
  <si>
    <t>自动运行时弹簧线碰到一起（摩擦）</t>
  </si>
  <si>
    <t>两根弹簧线靠的很近，</t>
  </si>
  <si>
    <t>更换固定弹簧线的钣金件，钣金件5号到公司</t>
  </si>
  <si>
    <t>7号测试平台</t>
  </si>
  <si>
    <t>X/Y轴运动时声音大</t>
  </si>
  <si>
    <t>装配问题，同步带装的标准</t>
  </si>
  <si>
    <t>先人工调整，目前已经解决，买回工具去测量后再微调</t>
  </si>
  <si>
    <t>4号测试平台</t>
  </si>
  <si>
    <t>平台XY轴调整速度到 100mm/S时会报警；</t>
  </si>
  <si>
    <t>X轴同步带太紧 Y轴程序监测点少</t>
  </si>
  <si>
    <t>Y轴调松同步带目前速度可以达到400mm X轴程序调整后速度达到要求</t>
  </si>
  <si>
    <t>2号测试平台</t>
  </si>
  <si>
    <t>平台前后差距5mm</t>
  </si>
  <si>
    <t>需要检查测量轴与平台的安装是否存在角度</t>
  </si>
  <si>
    <t>先测量尺寸，再进行调整</t>
  </si>
  <si>
    <t>1号测试平台</t>
  </si>
  <si>
    <t>X轴运行异响</t>
  </si>
  <si>
    <t>查看原因</t>
  </si>
  <si>
    <t>找到原因再处理</t>
  </si>
  <si>
    <t>3号测试平台</t>
  </si>
  <si>
    <t>Z轴异响</t>
  </si>
  <si>
    <t>丝杆和电机不同心</t>
  </si>
  <si>
    <t>纠正丝杆位置</t>
  </si>
  <si>
    <t>6/13号测试平台</t>
  </si>
  <si>
    <t>Z轴报警</t>
  </si>
  <si>
    <t>查看丝杆和电机是否安装同心</t>
  </si>
  <si>
    <t>重新安装</t>
  </si>
  <si>
    <t>6号测试平台</t>
  </si>
  <si>
    <t>Y 轴限位开关，要往外弄点，托盘最后一列离心管抓不到</t>
  </si>
  <si>
    <t>传感器位置安装不正确</t>
  </si>
  <si>
    <t>调整传感器安装位置</t>
  </si>
  <si>
    <t>Z轴电机咯吱咯吱异响</t>
  </si>
  <si>
    <t>注射泵加液</t>
  </si>
  <si>
    <t>注射泵加液模块</t>
  </si>
  <si>
    <t>徐翔宇</t>
  </si>
  <si>
    <t>注射泵模块固定不到平台上</t>
  </si>
  <si>
    <t>尺寸和平台不匹配(不是问题)</t>
  </si>
  <si>
    <t>10ml精密移液(注射泵)</t>
  </si>
  <si>
    <t>杜悦成</t>
  </si>
  <si>
    <t>Z1/Z2吸液后高度超限，放平台或放平台Z轴，都有困难</t>
  </si>
  <si>
    <t>实际应用只需将Z2轴安装在平台移动Z轴上即可</t>
  </si>
  <si>
    <t>注射泵模块</t>
  </si>
  <si>
    <t>推塞上有气泡，排不出去</t>
  </si>
  <si>
    <t>该气泡应该是第一次吸液时留在针管中的空气</t>
  </si>
  <si>
    <r>
      <rPr>
        <sz val="11"/>
        <color rgb="FF000000"/>
        <rFont val="宋体"/>
        <charset val="134"/>
        <scheme val="minor"/>
      </rPr>
      <t>活塞杆推到位将气泡排出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用酒精试下</t>
    </r>
  </si>
  <si>
    <t>推杆和固定件有固定不牢，可以上下滑动</t>
  </si>
  <si>
    <t>活塞杆与锁紧螺丝有一定间隙</t>
  </si>
  <si>
    <t>更换活塞杆下方穿孔螺丝</t>
  </si>
  <si>
    <t>1ml注射泵</t>
  </si>
  <si>
    <t>电机轴断裂</t>
  </si>
  <si>
    <t>同步带太紧了</t>
  </si>
  <si>
    <t>张力计测量紧松度</t>
  </si>
  <si>
    <t>10ml*4通道注射泵</t>
  </si>
  <si>
    <t>11.14/15号精度突然下降很多</t>
  </si>
  <si>
    <t>安装同步轮的延长轴孔已磨损，孔变大了</t>
  </si>
  <si>
    <t>和1ml注射泵一样，调整电机固定方式，去掉延长杆</t>
  </si>
  <si>
    <t>电机坏</t>
  </si>
  <si>
    <t>电机增加了延长杆，偏向力过大导致电机报警</t>
  </si>
  <si>
    <t>更新调整电机安装机构，减除延长杆</t>
  </si>
  <si>
    <t>1ml注射泵模块</t>
  </si>
  <si>
    <t>今天发现电机停了两次，断电复位后才能启动</t>
  </si>
  <si>
    <t>电机经过周工检查为堵转。</t>
  </si>
  <si>
    <t xml:space="preserve">   </t>
  </si>
  <si>
    <t>50ml*4注射泵</t>
  </si>
  <si>
    <t>1通道精度有1‰下降到9‰</t>
  </si>
  <si>
    <t>25ml*6通道注射泵</t>
  </si>
  <si>
    <t>靠近里边的三个注射泵 左右晃动了</t>
  </si>
  <si>
    <t>离心管拆盖模块</t>
  </si>
  <si>
    <t>50ml拧盖模块</t>
  </si>
  <si>
    <t>去托盘取离心管时，夹爪会碰到瓶盖</t>
  </si>
  <si>
    <t>离心管放歪时，会碰到，托盘间隙过大</t>
  </si>
  <si>
    <t>对托盘进行优化，改小放试管的孔间隙，重做托盘上盖板，目前先用新的托盘替代使用</t>
  </si>
  <si>
    <t>容量瓶平摇第一代</t>
  </si>
  <si>
    <t>50ml平遥模块</t>
  </si>
  <si>
    <t>容量瓶夹爪要定制匹配的，现在版本不能抓取</t>
  </si>
  <si>
    <t>之前没考滤容量瓶的爪取</t>
  </si>
  <si>
    <t>夹爪已经到公司，可以安排测试</t>
  </si>
  <si>
    <t>容量瓶翻转摇匀第一代</t>
  </si>
  <si>
    <t>50ml摇匀模块</t>
  </si>
  <si>
    <t>托盘架</t>
  </si>
  <si>
    <t>离心管15ml</t>
  </si>
  <si>
    <t>2#平台15ml离心管托盘</t>
  </si>
  <si>
    <t>宾工</t>
  </si>
  <si>
    <t>托盘卡住了离心管，F4孔位，夹爪抓不起来</t>
  </si>
  <si>
    <t>托盘底部托盘孔没倒角，容易卡试管</t>
  </si>
  <si>
    <t>临时措施：在现有的托盘架孔里加一个垫片</t>
  </si>
  <si>
    <t>托盘</t>
  </si>
  <si>
    <t>50ml离心管托盘孔位15个，应该是偶数</t>
  </si>
  <si>
    <t>先前加工托盘没考滤应用数量</t>
  </si>
  <si>
    <t>目前只是用来配合平台测试，后续版本考滤</t>
  </si>
  <si>
    <t>SPE</t>
  </si>
  <si>
    <t>35mlSPE模块</t>
  </si>
  <si>
    <t>35ml西林瓶规格有差异，导致取瓶时报警</t>
  </si>
  <si>
    <t>换了壁厚一点的手套</t>
  </si>
  <si>
    <t>正压加液</t>
  </si>
  <si>
    <t>35ml浓缩正压加液 加5ml只出来2滴</t>
  </si>
  <si>
    <t>更换口径大的PEEK 管</t>
  </si>
  <si>
    <t>正压加液重复精度低，从1‰-1.8%</t>
  </si>
  <si>
    <t>瓶口漏气</t>
  </si>
  <si>
    <t>正压加液 溶液里边空气增加</t>
  </si>
  <si>
    <t>继续测试；对比下有无气泡</t>
  </si>
  <si>
    <t>正压加液模块</t>
  </si>
  <si>
    <t>康龙模块容量瓶炸了</t>
  </si>
  <si>
    <t>康龙使用了2L的高硼硅玻璃瓶，承受不了0.2Mpa压力</t>
  </si>
  <si>
    <r>
      <rPr>
        <sz val="11"/>
        <color rgb="FF000000"/>
        <rFont val="宋体"/>
        <charset val="134"/>
        <scheme val="minor"/>
      </rPr>
      <t>建议正压加液使用玻璃试剂瓶体积</t>
    </r>
    <r>
      <rPr>
        <sz val="11"/>
        <color rgb="FFFF0000"/>
        <rFont val="宋体"/>
        <charset val="134"/>
        <scheme val="minor"/>
      </rPr>
      <t>要在1L以内</t>
    </r>
    <r>
      <rPr>
        <sz val="11"/>
        <color rgb="FF000000"/>
        <rFont val="宋体"/>
        <charset val="134"/>
        <scheme val="minor"/>
      </rPr>
      <t>，大容量加液需要使用钢制瓶。后续所有正压加液试剂瓶需要加防爆罩。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1L 0.3MPA 极限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图纸里边注明容量瓶的选型及风险点</t>
    </r>
  </si>
  <si>
    <t>离心管垂直振荡</t>
  </si>
  <si>
    <t>50ml振荡模块</t>
  </si>
  <si>
    <t>冯博-转深圳</t>
  </si>
  <si>
    <t>电动推杆可以上下旋转，会导致感应开关感应不到</t>
  </si>
  <si>
    <t>伸出轴可以旋转，感应片未打螺纹胶</t>
  </si>
  <si>
    <t>新采购电动推杆（内部铆钉固定方向），感应片螺纹处打胶</t>
  </si>
  <si>
    <t>振荡模块</t>
  </si>
  <si>
    <t>冯博</t>
  </si>
  <si>
    <t>振荡噪音80±</t>
  </si>
  <si>
    <t>离心管拆盖</t>
  </si>
  <si>
    <t>15ml</t>
  </si>
  <si>
    <t>15ml拧盖模块</t>
  </si>
  <si>
    <t>Z轴联轴器变形</t>
  </si>
  <si>
    <t>零件有误差，导致和电机轴不能同心</t>
  </si>
  <si>
    <t>新设计转接件并投产</t>
  </si>
  <si>
    <t>两个电机盖上盖子，运行一段时间很烫 五六十度</t>
  </si>
  <si>
    <t>电控调试</t>
  </si>
  <si>
    <t>Z轴固定柱8个螺丝松掉</t>
  </si>
  <si>
    <t>螺钉松动</t>
  </si>
  <si>
    <t>加弹垫，如有必要，加螺纹胶</t>
  </si>
  <si>
    <t>Y轴运动声音大</t>
  </si>
  <si>
    <t>对Y轴丝杆进行优化</t>
  </si>
  <si>
    <t>下代版本</t>
  </si>
  <si>
    <t>/</t>
  </si>
  <si>
    <t>下代更新</t>
  </si>
  <si>
    <t>联轴器变形改善件，装上后，Z轴感应不到原点</t>
  </si>
  <si>
    <t>感应片加长，更换</t>
  </si>
  <si>
    <t>Z轴固定柱订单伸出太长</t>
  </si>
  <si>
    <t>设计优化</t>
  </si>
  <si>
    <t>更换304立柱（不影响测试）</t>
  </si>
  <si>
    <t>Z轴固定柱/固定圆形套件生锈</t>
  </si>
  <si>
    <t>未表面处理</t>
  </si>
  <si>
    <t>更换304立柱</t>
  </si>
  <si>
    <t>Y轴的固定件顶丝松了</t>
  </si>
  <si>
    <t>下一代直接用丝杠电机</t>
  </si>
  <si>
    <t>Z轴原点感应有点极限，电机走不到位</t>
  </si>
  <si>
    <t>拧盖模块垂直方向有偏差</t>
  </si>
  <si>
    <t>硅胶条引起</t>
  </si>
  <si>
    <t>更换零件</t>
  </si>
  <si>
    <t>拧盖模块</t>
  </si>
  <si>
    <t>拧盖模块不统一，Z轴电机有的有弹簧，有的没弹簧</t>
  </si>
  <si>
    <t>包胶夹爪在2274次的时候，其中一个包胶开裂</t>
  </si>
  <si>
    <t>离心管加液涡旋</t>
  </si>
  <si>
    <t>50ml拧盖加液涡旋</t>
  </si>
  <si>
    <t>手抓长度不够，要更换</t>
  </si>
  <si>
    <t>涡旋噪音大，分贝在 85左右</t>
  </si>
  <si>
    <t>待查找确认</t>
  </si>
  <si>
    <t>橡胶减震柱更换，分贝在80上下</t>
  </si>
  <si>
    <t>涡旋胶垫的四个螺丝松了</t>
  </si>
  <si>
    <t>未固定</t>
  </si>
  <si>
    <t>打螺纹胶</t>
  </si>
  <si>
    <t>离心管脖颈处有一圈黑色，跟载台磨擦</t>
  </si>
  <si>
    <t>硅胶板有问题</t>
  </si>
  <si>
    <t>更换白色硅胶板</t>
  </si>
  <si>
    <t>新安装的胶圈不合适，卡住试管太紧。拆掉胶圈及压板后声音在80分贝左右。新试管容易出现Z气缸下限位感应不到。</t>
  </si>
  <si>
    <t>空压机气压不足，导致抱紧气缸夹不紧，拆盖不能完成。初始化的时候未完全拆掉盖子的试管会撞到涡旋下压Z轴。</t>
  </si>
  <si>
    <t>气压不够，没有报警，导致事故</t>
  </si>
  <si>
    <t>未设置报警</t>
  </si>
  <si>
    <t>添加压力表并报警，可继续测试</t>
  </si>
  <si>
    <t>50ml加液涡旋</t>
  </si>
  <si>
    <t>气缸下压砰一下，声音大</t>
  </si>
  <si>
    <t>气压过大</t>
  </si>
  <si>
    <t>调整流速阀</t>
  </si>
  <si>
    <t>加液管太靠前，会影响机械臂运动</t>
  </si>
  <si>
    <t>气缸感应开关顶丝松掉，感应不到气缸下压</t>
  </si>
  <si>
    <t>顶丝松</t>
  </si>
  <si>
    <t>打螺丝胶</t>
  </si>
  <si>
    <t>注射泵移液</t>
  </si>
  <si>
    <t>精密移液</t>
  </si>
  <si>
    <t>精密移液10ml精度在1‰以下，改成5ml精度2.8%，需要重新调精度，不是线性关系</t>
  </si>
  <si>
    <t>电机轴生锈</t>
  </si>
  <si>
    <t>减速机轴有部分生锈，使用的是公司之前库存</t>
  </si>
  <si>
    <t>轴表面涂抹防锈油</t>
  </si>
  <si>
    <t>液体全量转移</t>
  </si>
  <si>
    <t>液体全量转移模块</t>
  </si>
  <si>
    <t>抱紧气缸动点报警。</t>
  </si>
  <si>
    <t>瓶底没有限位，摆动过大</t>
  </si>
  <si>
    <t>加一个瓶底限位套</t>
  </si>
  <si>
    <t>因气压不足抱紧气缸没夹紧报警延迟，试管拆盖未完成，Y轴移动时把夹爪上的试管一起带动了。</t>
  </si>
  <si>
    <t>车间气压不够</t>
  </si>
  <si>
    <t>已经下单采购一套空压机供调试用</t>
  </si>
  <si>
    <t>分液器抓取</t>
  </si>
  <si>
    <t>测试比较费力</t>
  </si>
  <si>
    <t>分液器是固定的，不方便测试</t>
  </si>
  <si>
    <t>加装一个Y轴，实现取分液器和移液功能测试</t>
  </si>
  <si>
    <t>视觉定容第一代</t>
  </si>
  <si>
    <t>100ml</t>
  </si>
  <si>
    <t>视觉定容模块</t>
  </si>
  <si>
    <t>容量瓶里边有很多气泡</t>
  </si>
  <si>
    <t>气压不稳定</t>
  </si>
  <si>
    <t>模块机构不需要处理</t>
  </si>
  <si>
    <t>空压机</t>
  </si>
  <si>
    <t>安全</t>
  </si>
  <si>
    <t>安全阀要有检验</t>
  </si>
  <si>
    <t>目前供应商的安全阀不带安全检验</t>
  </si>
  <si>
    <t>需要再单独采购一个安全阀，在深圳本地检验然后再拿回来替换</t>
  </si>
  <si>
    <t>测试通过的模块</t>
  </si>
  <si>
    <t>地点</t>
  </si>
  <si>
    <t>平台号</t>
  </si>
  <si>
    <t>硬件
负责人</t>
  </si>
  <si>
    <t>PLC
负责人</t>
  </si>
  <si>
    <t>状态</t>
  </si>
  <si>
    <t>开始日期</t>
  </si>
  <si>
    <t>截止日期</t>
  </si>
  <si>
    <t>已测试天数</t>
  </si>
  <si>
    <t>测试情况</t>
  </si>
  <si>
    <t>测试次数</t>
  </si>
  <si>
    <t>出现问题数量</t>
  </si>
  <si>
    <t>解决问题梳理</t>
  </si>
  <si>
    <t>未解决问题</t>
  </si>
  <si>
    <t>最长连续正常测试(天)</t>
  </si>
  <si>
    <t>测试状态</t>
  </si>
  <si>
    <t>深圳</t>
  </si>
  <si>
    <t xml:space="preserve">SZ-06 1400MM </t>
  </si>
  <si>
    <t>50ml离心管拆装盖模块</t>
  </si>
  <si>
    <t>正常</t>
  </si>
  <si>
    <t>通过4</t>
  </si>
  <si>
    <t xml:space="preserve">SZ-01 1400MM </t>
  </si>
  <si>
    <t>2ml离心管正压加液涡旋模块V2.0</t>
  </si>
  <si>
    <t>彭超凡</t>
  </si>
  <si>
    <t>目前涡旋噪音较大80分贝以上。
上料检测有时候检测不到</t>
  </si>
  <si>
    <t>通过1</t>
  </si>
  <si>
    <t>交付前把PEEK料换掉</t>
  </si>
  <si>
    <t xml:space="preserve">SZ-04 1400MM </t>
  </si>
  <si>
    <t>15ml离心管拆装盖模块</t>
  </si>
  <si>
    <t xml:space="preserve">SZ-02 1400MM </t>
  </si>
  <si>
    <t>2ml离心管连续加盐模块</t>
  </si>
  <si>
    <r>
      <rPr>
        <sz val="11"/>
        <color theme="1"/>
        <rFont val="宋体"/>
        <charset val="134"/>
        <scheme val="minor"/>
      </rPr>
      <t xml:space="preserve">1、精度达到要求 5%以下
2、连接电子秤 通讯线影响测量精度，1.10号做了修改，
</t>
    </r>
    <r>
      <rPr>
        <sz val="11"/>
        <color rgb="FFFF0000"/>
        <rFont val="宋体"/>
        <charset val="134"/>
        <scheme val="minor"/>
      </rPr>
      <t>3、撒盐问题，每天清理</t>
    </r>
  </si>
  <si>
    <t>SZ-03 1400MM</t>
  </si>
  <si>
    <t>分液器抓取模块</t>
  </si>
  <si>
    <t>朱园林</t>
  </si>
  <si>
    <t>维修</t>
  </si>
  <si>
    <t>手抓夹取分液器不稳定；经常掉</t>
  </si>
  <si>
    <t>未通过</t>
  </si>
  <si>
    <t>SZ-04 1400MM</t>
  </si>
  <si>
    <t>SPE模块(6CC)</t>
  </si>
  <si>
    <t>杜岳成</t>
  </si>
  <si>
    <t>停止</t>
  </si>
  <si>
    <t>空跑</t>
  </si>
  <si>
    <t>2.0迭代中</t>
  </si>
  <si>
    <t xml:space="preserve">SZ-05 1400MM </t>
  </si>
  <si>
    <t>50ml液体全量转移模块V1.0</t>
  </si>
  <si>
    <t>12.2号开始测试</t>
  </si>
  <si>
    <t xml:space="preserve">2ml西林瓶拆装盖模块V2.0
2ml离心管拆装盖加液模块V2.0
2ml离心管带磁拆装盖加液模块V2.0
</t>
  </si>
  <si>
    <t>1、11.28-11.29 更换钣金件，停了两天  
2、更换Y轴联轴器
3、盖子高度更换</t>
  </si>
  <si>
    <t>3万次</t>
  </si>
  <si>
    <t>通过2</t>
  </si>
  <si>
    <t>暂停</t>
  </si>
  <si>
    <t>精度在1%以内；正常退枪头</t>
  </si>
  <si>
    <t>3.7万次</t>
  </si>
  <si>
    <t>15天内生产</t>
  </si>
  <si>
    <t>50ml离心管加液涡旋模块</t>
  </si>
  <si>
    <t>1、涡旋2500RPM 噪音低于65
2、涡旋效果通过
3、拧合盖没有问题</t>
  </si>
  <si>
    <t>15ml离心管加液涡旋模块</t>
  </si>
  <si>
    <t xml:space="preserve">SZ-07 800MM </t>
  </si>
  <si>
    <t>转速2500以上噪音 85+；
Y轴轨道生锈
拧盖出现问题，旋转夹爪和瓶盖中心不对</t>
  </si>
  <si>
    <t xml:space="preserve">SZ-08 800MM
(康龙) </t>
  </si>
  <si>
    <t>35ml西林瓶离心浓缩模块V1.0</t>
  </si>
  <si>
    <t>从12.19号测试密封圈的耐用性
1旋转轴表面处理处理更好的
2密封圈耐磨性
3瓶子加工定制</t>
  </si>
  <si>
    <t>更换密封圈</t>
  </si>
  <si>
    <t>6.8万次</t>
  </si>
  <si>
    <t>20cc SPE模块V2.0</t>
  </si>
  <si>
    <t>加液测试中</t>
  </si>
  <si>
    <t>压力+气体流量测试通过量产；
塞板；节流阀
1um过滤器</t>
  </si>
  <si>
    <t xml:space="preserve">SZ-09 1400MM </t>
  </si>
  <si>
    <t>没做抽真空测试</t>
  </si>
  <si>
    <t>10ml西林瓶离心浓缩模块V1.0</t>
  </si>
  <si>
    <t>12.27开始测试8天</t>
  </si>
  <si>
    <t>140次</t>
  </si>
  <si>
    <t>通过3</t>
  </si>
  <si>
    <t xml:space="preserve">SZ-11 1400MM </t>
  </si>
  <si>
    <t xml:space="preserve">12.23 结构做了改进；
</t>
  </si>
  <si>
    <t>4850次</t>
  </si>
  <si>
    <t>1ml*1通道注射泵</t>
  </si>
  <si>
    <t>12.23 结构做了改进</t>
  </si>
  <si>
    <t>5127次</t>
  </si>
  <si>
    <t xml:space="preserve">SZ-12 1400MM </t>
  </si>
  <si>
    <t>50ml*4通道注射泵</t>
  </si>
  <si>
    <t>12.23 结构做了改进
结构有问题，掉粉</t>
  </si>
  <si>
    <t>1900次</t>
  </si>
  <si>
    <t>12.23结构做了改进</t>
  </si>
  <si>
    <t>4907次</t>
  </si>
  <si>
    <t xml:space="preserve">SZ-14 1400MM </t>
  </si>
  <si>
    <t>50ml离心管垂直振荡模块V1.0</t>
  </si>
  <si>
    <t>翟工</t>
  </si>
  <si>
    <t>模块动作测试中，噪音有点大 80+</t>
  </si>
  <si>
    <t xml:space="preserve">SZ-13 1400MM </t>
  </si>
  <si>
    <t>2ml*4管离心机</t>
  </si>
  <si>
    <t>1、测试取放离心管，12.7号测试14000转，电机声音很大
2、缺少取放料检测功能
3、现场安装问题</t>
  </si>
  <si>
    <t>1月中旬</t>
  </si>
  <si>
    <t xml:space="preserve">SZ-15 1400MM </t>
  </si>
  <si>
    <t>50ml-4孔位高速离心机模块V2.0</t>
  </si>
  <si>
    <t>1、1.17转子回来，做了不平衡测试；开始测试</t>
  </si>
  <si>
    <t>吐枪头测试中</t>
  </si>
  <si>
    <t>线下</t>
  </si>
  <si>
    <t>2ml-6孔位高速离心模块V3.0
（清华项目）</t>
  </si>
  <si>
    <r>
      <rPr>
        <sz val="11"/>
        <color theme="1"/>
        <rFont val="宋体"/>
        <charset val="134"/>
        <scheme val="minor"/>
      </rPr>
      <t xml:space="preserve">12.18号换了新电机开始测试
</t>
    </r>
    <r>
      <rPr>
        <b/>
        <sz val="11"/>
        <rFont val="宋体"/>
        <charset val="134"/>
        <scheme val="minor"/>
      </rPr>
      <t>1、</t>
    </r>
    <r>
      <rPr>
        <sz val="11"/>
        <color theme="1"/>
        <rFont val="宋体"/>
        <charset val="134"/>
        <scheme val="minor"/>
      </rPr>
      <t xml:space="preserve">离心1分钟休息15分钟，测试了5天*24小时 ，温度上升3-4度左右   
</t>
    </r>
    <r>
      <rPr>
        <b/>
        <sz val="11"/>
        <color theme="1"/>
        <rFont val="宋体"/>
        <charset val="134"/>
        <scheme val="minor"/>
      </rPr>
      <t>2、</t>
    </r>
    <r>
      <rPr>
        <sz val="11"/>
        <color theme="1"/>
        <rFont val="宋体"/>
        <charset val="134"/>
        <scheme val="minor"/>
      </rPr>
      <t xml:space="preserve">预警测试(真空度、位移、震动频率)                            
</t>
    </r>
    <r>
      <rPr>
        <b/>
        <sz val="11"/>
        <color theme="1"/>
        <rFont val="宋体"/>
        <charset val="134"/>
        <scheme val="minor"/>
      </rPr>
      <t>3、</t>
    </r>
    <r>
      <rPr>
        <sz val="11"/>
        <color theme="1"/>
        <rFont val="宋体"/>
        <charset val="134"/>
        <scheme val="minor"/>
      </rPr>
      <t>离心机噪音65±；外围设备噪音 70以下</t>
    </r>
  </si>
  <si>
    <t>2ml-6孔位高速离心模块</t>
  </si>
  <si>
    <t>1、震动XYZ 都在25UM以下
2、噪音 低于65分贝
3、实际温度可控，温度显示14000转时最高温度7.8度；实际检测4度多点</t>
  </si>
  <si>
    <t>1、8000转噪音90+
2、缺少取放料检测功能</t>
  </si>
  <si>
    <r>
      <rPr>
        <sz val="11"/>
        <color theme="1"/>
        <rFont val="宋体"/>
        <charset val="134"/>
        <scheme val="minor"/>
      </rPr>
      <t xml:space="preserve">溶剂瓶的选择要符合标准；
硅胶外套/灌胶
</t>
    </r>
    <r>
      <rPr>
        <sz val="11"/>
        <color rgb="FFFF0000"/>
        <rFont val="宋体"/>
        <charset val="134"/>
        <scheme val="minor"/>
      </rPr>
      <t>做压力测试   5KG 2小时</t>
    </r>
  </si>
  <si>
    <t>2ml西林瓶离心浓缩模块</t>
  </si>
  <si>
    <t>600的高度没放平台测试
1、500ul浓缩时间 11分钟 6000转</t>
  </si>
  <si>
    <t>武汉</t>
  </si>
  <si>
    <t>WH-01</t>
  </si>
  <si>
    <t>25-200ml容量瓶拔塞加液模块</t>
  </si>
  <si>
    <t>2、平台夹爪不兼容25+50ml</t>
  </si>
  <si>
    <t>2.2万次</t>
  </si>
  <si>
    <t>上下料测试
测试平台、托盘、夹爪</t>
  </si>
  <si>
    <t>WH-02</t>
  </si>
  <si>
    <t>PH调节模块(30mlPP瓶+50ML离心管)</t>
  </si>
  <si>
    <t>王晓曦</t>
  </si>
  <si>
    <t>1.3万次</t>
  </si>
  <si>
    <t>动作完成，理解为通过</t>
  </si>
  <si>
    <t>WH-05</t>
  </si>
  <si>
    <t>精度在±1‰以内</t>
  </si>
  <si>
    <t>13万次</t>
  </si>
  <si>
    <t>优化结构到Z轴上</t>
  </si>
  <si>
    <t>WH-07</t>
  </si>
  <si>
    <t>TDS测量模块</t>
  </si>
  <si>
    <r>
      <rPr>
        <sz val="11"/>
        <color theme="1"/>
        <rFont val="宋体"/>
        <charset val="134"/>
        <scheme val="minor"/>
      </rPr>
      <t xml:space="preserve">正在测试动作，电极用摸具代替
</t>
    </r>
    <r>
      <rPr>
        <sz val="11"/>
        <color rgb="FFFF0000"/>
        <rFont val="宋体"/>
        <charset val="134"/>
        <scheme val="minor"/>
      </rPr>
      <t>选厂家，集成完，放到自动化平台上测试</t>
    </r>
  </si>
  <si>
    <t>梅特勒厂家处理</t>
  </si>
  <si>
    <t>PH测量模块</t>
  </si>
  <si>
    <t>WH-03</t>
  </si>
  <si>
    <t>密度测定模块</t>
  </si>
  <si>
    <r>
      <rPr>
        <sz val="11"/>
        <color theme="1"/>
        <rFont val="宋体"/>
        <charset val="134"/>
        <scheme val="minor"/>
      </rPr>
      <t xml:space="preserve">密度测定很多方法
</t>
    </r>
    <r>
      <rPr>
        <sz val="11"/>
        <color rgb="FFFF0000"/>
        <rFont val="宋体"/>
        <charset val="134"/>
        <scheme val="minor"/>
      </rPr>
      <t>1、评估容量瓶做密度测定</t>
    </r>
  </si>
  <si>
    <t>WH-04</t>
  </si>
  <si>
    <t>25-200ml容量瓶颠倒摇匀模块</t>
  </si>
  <si>
    <r>
      <rPr>
        <sz val="11"/>
        <color theme="1"/>
        <rFont val="宋体"/>
        <charset val="134"/>
        <scheme val="minor"/>
      </rPr>
      <t xml:space="preserve">12/23 用来测试平台交互
</t>
    </r>
    <r>
      <rPr>
        <sz val="11"/>
        <color rgb="FFFF0000"/>
        <rFont val="宋体"/>
        <charset val="134"/>
        <scheme val="minor"/>
      </rPr>
      <t>29+40做联测</t>
    </r>
  </si>
  <si>
    <t>1.136万次</t>
  </si>
  <si>
    <t>WH-06</t>
  </si>
  <si>
    <t>25-200ml容量瓶平摇模块</t>
  </si>
  <si>
    <t>白昌辉</t>
  </si>
  <si>
    <t>周恒</t>
  </si>
  <si>
    <t>1.6号和平台联动</t>
  </si>
  <si>
    <t>天平220g</t>
  </si>
  <si>
    <t>定容终点照片</t>
  </si>
  <si>
    <t>研发模块测试</t>
  </si>
  <si>
    <t>评审人：涂高祥、林雪平、宾俊、唐宋、冯热明、李国强、米红海</t>
  </si>
  <si>
    <t>团队</t>
  </si>
  <si>
    <t>模块编号</t>
  </si>
  <si>
    <t>测试
负责人</t>
  </si>
  <si>
    <t>评审日期</t>
  </si>
  <si>
    <t>重量KG</t>
  </si>
  <si>
    <t>备注</t>
  </si>
  <si>
    <t>安排生产</t>
  </si>
  <si>
    <t>2ml离心管加液涡旋1.0</t>
  </si>
  <si>
    <t>50ml离心管液体全量转移1.0</t>
  </si>
  <si>
    <t>20CCSPE模块</t>
  </si>
  <si>
    <t>溶剂瓶的选择要符合标准；
硅胶外套/灌胶
做压力测试</t>
  </si>
  <si>
    <t>50ml*4孔位离心机模块</t>
  </si>
  <si>
    <r>
      <rPr>
        <sz val="14"/>
        <color theme="1"/>
        <rFont val="宋体"/>
        <charset val="134"/>
        <scheme val="minor"/>
      </rPr>
      <t xml:space="preserve">12.16号换了新电机开始测试
1、缺少取放料检测功能
2、转速在9000时，噪音75+
</t>
    </r>
    <r>
      <rPr>
        <sz val="14"/>
        <color rgb="FFFF0000"/>
        <rFont val="宋体"/>
        <charset val="134"/>
        <scheme val="minor"/>
      </rPr>
      <t>3、放在800标准平台一体的离心机</t>
    </r>
  </si>
  <si>
    <t>2ml*6孔位离心机模块
（清华项目）</t>
  </si>
  <si>
    <r>
      <rPr>
        <sz val="14"/>
        <color theme="1"/>
        <rFont val="宋体"/>
        <charset val="134"/>
        <scheme val="minor"/>
      </rPr>
      <t xml:space="preserve">12.18号换了新电机开始测试
</t>
    </r>
    <r>
      <rPr>
        <b/>
        <sz val="14"/>
        <rFont val="宋体"/>
        <charset val="134"/>
        <scheme val="minor"/>
      </rPr>
      <t>1、</t>
    </r>
    <r>
      <rPr>
        <sz val="14"/>
        <color theme="1"/>
        <rFont val="宋体"/>
        <charset val="134"/>
        <scheme val="minor"/>
      </rPr>
      <t xml:space="preserve">离心1分钟休息15分钟，测试了5天*24小时 ，温度上升3-4度左右   
</t>
    </r>
    <r>
      <rPr>
        <b/>
        <sz val="14"/>
        <color theme="1"/>
        <rFont val="宋体"/>
        <charset val="134"/>
        <scheme val="minor"/>
      </rPr>
      <t>2、</t>
    </r>
    <r>
      <rPr>
        <sz val="14"/>
        <color theme="1"/>
        <rFont val="宋体"/>
        <charset val="134"/>
        <scheme val="minor"/>
      </rPr>
      <t xml:space="preserve">预警测试(真空度、位移、震动频率)                            
</t>
    </r>
    <r>
      <rPr>
        <b/>
        <sz val="14"/>
        <color theme="1"/>
        <rFont val="宋体"/>
        <charset val="134"/>
        <scheme val="minor"/>
      </rPr>
      <t>3、</t>
    </r>
    <r>
      <rPr>
        <sz val="14"/>
        <color theme="1"/>
        <rFont val="宋体"/>
        <charset val="134"/>
        <scheme val="minor"/>
      </rPr>
      <t>离心机噪音65±；外围设备噪音 70以下</t>
    </r>
  </si>
  <si>
    <t>2ml浓缩模块</t>
  </si>
  <si>
    <r>
      <rPr>
        <sz val="14"/>
        <color theme="1"/>
        <rFont val="宋体"/>
        <charset val="134"/>
        <scheme val="minor"/>
      </rPr>
      <t xml:space="preserve">12/23 用来测试平台交互
</t>
    </r>
    <r>
      <rPr>
        <sz val="14"/>
        <color rgb="FFFF0000"/>
        <rFont val="宋体"/>
        <charset val="134"/>
        <scheme val="minor"/>
      </rPr>
      <t>29+40做联测</t>
    </r>
  </si>
  <si>
    <t>50ml离心管拆装盖模块2.0</t>
  </si>
  <si>
    <t>15ml离心管拆装盖模块2.0</t>
  </si>
  <si>
    <r>
      <rPr>
        <sz val="14"/>
        <color theme="1"/>
        <rFont val="宋体"/>
        <charset val="134"/>
        <scheme val="minor"/>
      </rPr>
      <t xml:space="preserve">1、精度达到要求 5%以下
2、连接电子秤 通讯线影响测量精度，1.10号做了修改，
</t>
    </r>
    <r>
      <rPr>
        <sz val="14"/>
        <color rgb="FFFF0000"/>
        <rFont val="宋体"/>
        <charset val="134"/>
        <scheme val="minor"/>
      </rPr>
      <t>3、撒盐问题，每天清理</t>
    </r>
  </si>
  <si>
    <t>50ml离心管加液涡旋模块2.0</t>
  </si>
  <si>
    <t>15ml离心管加液涡旋模块2.0</t>
  </si>
  <si>
    <t>50ml离心管液体全量转移2.0</t>
  </si>
  <si>
    <t>通过5</t>
  </si>
  <si>
    <t>1400*850 离心管货架V1.0（1A+3B+2C）</t>
  </si>
  <si>
    <t>涂大亮</t>
  </si>
  <si>
    <t>垂直度/平整度/光电开关</t>
  </si>
  <si>
    <t>通过6</t>
  </si>
  <si>
    <t>800*850 离心管货架V1.0（1A+3B+2C）</t>
  </si>
  <si>
    <t>2ml离心管带磁拆装盖加液模块V3.0</t>
  </si>
  <si>
    <t>胡瑞良</t>
  </si>
  <si>
    <t>71个实验任务，约 1400个样品
1、没有出现问题</t>
  </si>
  <si>
    <t>通过7</t>
  </si>
  <si>
    <t>2ml离心管正压加液涡旋模块V3.0</t>
  </si>
  <si>
    <t>71个实验任务，约 1400个样品
1、2台，其中1台涡旋效果不好，换了气缸，可以了</t>
  </si>
  <si>
    <t>30-125ml PP瓶拆盖模块</t>
  </si>
  <si>
    <t>黄文兴</t>
  </si>
  <si>
    <t>朱国玉</t>
  </si>
  <si>
    <r>
      <rPr>
        <sz val="14"/>
        <color theme="1"/>
        <rFont val="宋体"/>
        <charset val="134"/>
        <scheme val="minor"/>
      </rPr>
      <t>1、没出现问题：</t>
    </r>
    <r>
      <rPr>
        <sz val="14"/>
        <color rgb="FFFF0000"/>
        <rFont val="宋体"/>
        <charset val="134"/>
        <scheme val="minor"/>
      </rPr>
      <t>垫高、夹爪</t>
    </r>
  </si>
  <si>
    <t>新平台上下料有问题</t>
  </si>
  <si>
    <t>1400*850mm离心管手工岛标准平台V2.0</t>
  </si>
  <si>
    <t>杨宇/宾俊</t>
  </si>
  <si>
    <t>水平仪测了下平整度 5点</t>
  </si>
  <si>
    <t>800*850mm离心管手工岛标准平台V2.0</t>
  </si>
  <si>
    <t>1400*850mm离心管仓库岛标准平台V1.0</t>
  </si>
  <si>
    <t>王志/宾俊</t>
  </si>
  <si>
    <t>800*850mm离心管仓库岛标准平台V1.0</t>
  </si>
  <si>
    <t>1400*850mm离心管自动化岛标准平台V2.0</t>
  </si>
  <si>
    <t>徐翔宇/宾俊</t>
  </si>
  <si>
    <t xml:space="preserve"> 9点 定位</t>
  </si>
  <si>
    <t>800*850mm离心管自动化岛标准平台V2.0</t>
  </si>
  <si>
    <t>25-200ml视觉定容模块</t>
  </si>
  <si>
    <t>魏泽凯</t>
  </si>
  <si>
    <t>1、100ml和200ml测试效果达标
2、50ml测试有偏差大于1‰
3、25ml偏差大，抓液面抓不到；</t>
  </si>
  <si>
    <t>通过8</t>
  </si>
  <si>
    <t>100ml石墨赶酸模块</t>
  </si>
  <si>
    <t>汪建</t>
  </si>
  <si>
    <t>1、温控8孔位达到一致性
2、液体剩余量在合理范围内</t>
  </si>
  <si>
    <t>消解管拆盖加液模块(100ML)</t>
  </si>
  <si>
    <t>目前的喷淋机构不满足喷淋效果，只有几个孔可以喷出液体</t>
  </si>
  <si>
    <t>4ml西林瓶拆盖正压加液模块</t>
  </si>
  <si>
    <t>梁似河</t>
  </si>
  <si>
    <t>1、包胶不牢固，胶皮脱落</t>
  </si>
  <si>
    <t>27748
21600</t>
  </si>
  <si>
    <t>通过9</t>
  </si>
  <si>
    <t>2ml离心管&amp;西林瓶拆装盖加液模块V3.0</t>
  </si>
  <si>
    <t>米红海</t>
  </si>
  <si>
    <t>1、手指不是最新版
2、光电开关感应不到瓶子
3、电夹爪程序升级
4、1万次，手指气缸胶条磨损、瓶子转动</t>
  </si>
  <si>
    <t>pH测定模块V2.0</t>
  </si>
  <si>
    <t>1、没用电极测试</t>
  </si>
  <si>
    <t>通过10</t>
  </si>
  <si>
    <t>30ML过滤模块</t>
  </si>
  <si>
    <t>1、上下料载台垫高</t>
  </si>
  <si>
    <t>容量瓶体系平台过滤杯取不到</t>
  </si>
  <si>
    <t>125ml PP瓶拆盖正压加液混匀模块</t>
  </si>
  <si>
    <r>
      <rPr>
        <sz val="14"/>
        <color theme="1"/>
        <rFont val="宋体"/>
        <charset val="134"/>
        <scheme val="minor"/>
      </rPr>
      <t xml:space="preserve">1、y轴滑轨间隙稍微有点大 开合盖的时候有点小晃动
</t>
    </r>
    <r>
      <rPr>
        <sz val="14"/>
        <color rgb="FFFF0000"/>
        <rFont val="宋体"/>
        <charset val="134"/>
        <scheme val="minor"/>
      </rPr>
      <t>2、拆盖Z轴和直线轴承间隙比较大</t>
    </r>
  </si>
  <si>
    <t>1400*850mm容量瓶自动化岛标准平台V1.0</t>
  </si>
  <si>
    <t>邱泽成</t>
  </si>
  <si>
    <t>1400*850mm容量瓶仓库岛标准平台V1.0</t>
  </si>
  <si>
    <t>50ml离心管均质模块V2.0</t>
  </si>
  <si>
    <t>蔡勤超</t>
  </si>
  <si>
    <r>
      <rPr>
        <sz val="14"/>
        <color theme="1"/>
        <rFont val="宋体"/>
        <charset val="134"/>
        <scheme val="minor"/>
      </rPr>
      <t xml:space="preserve">1、8000 RPM 时噪音85+
</t>
    </r>
    <r>
      <rPr>
        <sz val="14"/>
        <color rgb="FFFF0000"/>
        <rFont val="宋体"/>
        <charset val="134"/>
        <scheme val="minor"/>
      </rPr>
      <t>2、隔膜泵继续测试
3、刀头里边有个铁佛龙环，易耗品；使用时长</t>
    </r>
  </si>
  <si>
    <t>通过11</t>
  </si>
  <si>
    <t xml:space="preserve">125mlPP瓶均质模块 </t>
  </si>
  <si>
    <r>
      <rPr>
        <sz val="14"/>
        <color theme="1"/>
        <rFont val="宋体"/>
        <charset val="134"/>
        <scheme val="minor"/>
      </rPr>
      <t xml:space="preserve">1、均质刀头和清洗槽有干涉；刀头问题
</t>
    </r>
    <r>
      <rPr>
        <sz val="14"/>
        <color rgb="FFFF0000"/>
        <rFont val="宋体"/>
        <charset val="134"/>
        <scheme val="minor"/>
      </rPr>
      <t>2、隔膜泵继续测试
3、刀头里边有个铁佛龙环，易耗品；使用时长</t>
    </r>
  </si>
  <si>
    <t>2ml西林瓶离心浓缩模块V2.0</t>
  </si>
  <si>
    <t>涂大亮
梁似河</t>
  </si>
  <si>
    <t>1、鼓风机吹常温风 60s，外壁水没有
2、正常配置的风扇要 120S，外壁水没有</t>
  </si>
  <si>
    <t>通过12</t>
  </si>
  <si>
    <r>
      <rPr>
        <sz val="11"/>
        <color theme="1"/>
        <rFont val="宋体"/>
        <charset val="134"/>
        <scheme val="minor"/>
      </rPr>
      <t>1、上瓶子-压下来-吹热风(</t>
    </r>
    <r>
      <rPr>
        <sz val="11"/>
        <color rgb="FFFF0000"/>
        <rFont val="宋体"/>
        <charset val="134"/>
        <scheme val="minor"/>
      </rPr>
      <t>吹风时间-留参数</t>
    </r>
    <r>
      <rPr>
        <sz val="11"/>
        <color theme="1"/>
        <rFont val="宋体"/>
        <charset val="134"/>
        <scheme val="minor"/>
      </rPr>
      <t>)-转起来-抽真空
2、吹热风的温度/风量选择
3、风扇的选择</t>
    </r>
  </si>
  <si>
    <t>10ml西林瓶离心浓缩模块V2.0</t>
  </si>
  <si>
    <t>1、鼓风机吹常温风 60s，外壁水没有</t>
  </si>
  <si>
    <t>35ml西林瓶离心浓缩模块V2.0</t>
  </si>
  <si>
    <t>50ml离心管加盐涡旋模块V2.0</t>
  </si>
  <si>
    <t>1、涡旋2400转噪音  低于60分贝
2、加盐管改进；去除了噪音+卡死
3、拧盖没问题</t>
  </si>
  <si>
    <t>50ml离心管超声模块V2.0</t>
  </si>
  <si>
    <t>邱泽成
梁似河</t>
  </si>
  <si>
    <t>1、用NACL、冰糖、果糖、VC测试 超声20-50min不能完全溶解</t>
  </si>
  <si>
    <t>注射泵移液模块10m1</t>
  </si>
  <si>
    <t>汪健</t>
  </si>
  <si>
    <t>TDS测定模块V2.0</t>
  </si>
  <si>
    <t>涂大亮
魏泽凯</t>
  </si>
  <si>
    <t>1、测试精度通过，校准要手动录入</t>
  </si>
  <si>
    <t>150ml锥形瓶电热板加热消解</t>
  </si>
  <si>
    <t>HHM30E-050</t>
  </si>
  <si>
    <t>50ml离心管金属浴模块</t>
  </si>
  <si>
    <t>唐宋</t>
  </si>
  <si>
    <r>
      <rPr>
        <sz val="14"/>
        <color theme="1"/>
        <rFont val="宋体"/>
        <charset val="134"/>
        <scheme val="minor"/>
      </rPr>
      <t xml:space="preserve">1、温差数据控制在±1度；控温25-70
</t>
    </r>
    <r>
      <rPr>
        <sz val="14"/>
        <color rgb="FFFF0000"/>
        <rFont val="宋体"/>
        <charset val="134"/>
        <scheme val="minor"/>
      </rPr>
      <t>2、模块摆的方向电机在侧边；不然没法上下料</t>
    </r>
  </si>
  <si>
    <t>通过13</t>
  </si>
  <si>
    <t>HHM13G-002</t>
  </si>
  <si>
    <t>2ml西林瓶拆盖称重加液模块V2.0</t>
  </si>
  <si>
    <t>1、加液精度达到±1%，20-80ul</t>
  </si>
  <si>
    <t>HHM13G-901</t>
  </si>
  <si>
    <t>10-35ml西林瓶称重加液模块V1.0</t>
  </si>
  <si>
    <t>1、加液精度达到±1%，50-80ul</t>
  </si>
  <si>
    <t>HHM30B-010</t>
  </si>
  <si>
    <t>10ml比色管金属浴模块</t>
  </si>
  <si>
    <t>1、孔温温差在±1度
2、升温时间满足10°/MIN
3、放置时间长，瓶塞会被冲出来；冷却后，形成负压，盖子打不开</t>
  </si>
  <si>
    <t>HHM09G-010</t>
  </si>
  <si>
    <t>自动化精密移液模块10ml（定量环）</t>
  </si>
  <si>
    <t>魏泽楷/涂大亮</t>
  </si>
  <si>
    <t>1、1ml、2ml、5ml 做了测试  最大-最小 20ul内
2、10ml定量环没测试，用5ml的代替</t>
  </si>
  <si>
    <t>HHM31A-050</t>
  </si>
  <si>
    <t>50m1离心管pH调测模块V2.0</t>
  </si>
  <si>
    <t>黄锐</t>
  </si>
  <si>
    <t>1、不用每次测完，插入保存液里边
2、测试时上下动下，在静置
3、同一个样品不用每次清洗电极
4、测试时可以直接加液；验证下 2025/5/9</t>
  </si>
  <si>
    <t>通过15</t>
  </si>
  <si>
    <t>HHM02L-100</t>
  </si>
  <si>
    <t>100ml试管拔塞模块</t>
  </si>
  <si>
    <t>HHM01E-010</t>
  </si>
  <si>
    <t>10ml比色管拔塞摇匀模块</t>
  </si>
  <si>
    <t>米红海
朱国玉</t>
  </si>
  <si>
    <t>1、涡旋位打开胶皮，里边很多碎末</t>
  </si>
  <si>
    <t>HHM01A-015</t>
  </si>
  <si>
    <t>15ml离心管振荡模块 V1.0</t>
  </si>
  <si>
    <t>1、底板加定位</t>
  </si>
  <si>
    <t>HHM11C-125</t>
  </si>
  <si>
    <t>125mlPP瓶连续加盐模块</t>
  </si>
  <si>
    <t>1、改结构后加盐精度稳定了，
2、盐管下盐口慢慢会堵塞；出盐口结块堵住了
3、定期清理</t>
  </si>
  <si>
    <t>HHM04G-006</t>
  </si>
  <si>
    <t>6cc SPE&amp;过滤模块V2.0</t>
  </si>
  <si>
    <t>1、下压密封性
2、2边通道的一致性</t>
  </si>
  <si>
    <t>HHM04F-020</t>
  </si>
  <si>
    <t>HHM04B-030</t>
  </si>
  <si>
    <t>30cc SPE模块V1.0</t>
  </si>
  <si>
    <t>HHM40D-002</t>
  </si>
  <si>
    <t>800*850mm离心管自动化岛标准平台V3.0</t>
  </si>
  <si>
    <t>1、Z轴电机坏，已更改
2、XYZ位移偏差大，已更改</t>
  </si>
  <si>
    <t>3万</t>
  </si>
  <si>
    <t>通过16</t>
  </si>
  <si>
    <t>800*850mm离心管自动化岛标准平台V3.1</t>
  </si>
  <si>
    <t>800*850mm离心管自动化岛标准平台V3.2</t>
  </si>
  <si>
    <t>HHM09L-150</t>
  </si>
  <si>
    <t>150ml锥形瓶全量转移</t>
  </si>
  <si>
    <t>1、锥形瓶剩余液体低于100UL
2、倾斜后，上倾面清洗效果差</t>
  </si>
  <si>
    <t>通过17</t>
  </si>
  <si>
    <t>HHM14D-050</t>
  </si>
  <si>
    <t>50ml离心管多通道超声模块</t>
  </si>
  <si>
    <t>1、离心管放入后，会有点角度，下料有隐患</t>
  </si>
  <si>
    <t>HHM15B-602</t>
  </si>
  <si>
    <t>2ml-6孔位高速离心模块V4.0（带XYZ）</t>
  </si>
  <si>
    <t>1、真空泵声音大68+</t>
  </si>
  <si>
    <t>4228分钟</t>
  </si>
  <si>
    <t>HHM15C-015</t>
  </si>
  <si>
    <t>15ml-4孔位高速离心模块V4.0(带XYZ）</t>
  </si>
  <si>
    <t>1、真空泵声音大65+</t>
  </si>
  <si>
    <t>5023分钟</t>
  </si>
  <si>
    <t>HHM15D-901</t>
  </si>
  <si>
    <t>30/125ml-4孔位 PP瓶离心模块V1.0（不带XYZ）</t>
  </si>
  <si>
    <t>2703分钟</t>
  </si>
  <si>
    <t>HHM04K-030</t>
  </si>
  <si>
    <t>30cc EXTRA SPE模块V1.0</t>
  </si>
  <si>
    <r>
      <rPr>
        <sz val="14"/>
        <color theme="1"/>
        <rFont val="宋体"/>
        <charset val="134"/>
        <scheme val="minor"/>
      </rPr>
      <t xml:space="preserve">1、SPE柱密封性OK
2、注液速度可控
</t>
    </r>
    <r>
      <rPr>
        <sz val="14"/>
        <color rgb="FFFF0000"/>
        <rFont val="宋体"/>
        <charset val="134"/>
        <scheme val="minor"/>
      </rPr>
      <t>3、缓冲池无清洗、无盖子
4、回收率没测试</t>
    </r>
  </si>
  <si>
    <t>通过18</t>
  </si>
  <si>
    <t>HHM10H-150</t>
  </si>
  <si>
    <t>150ml锥形瓶加液</t>
  </si>
  <si>
    <t>1、加液精度OK</t>
  </si>
  <si>
    <t>HHM05D-004</t>
  </si>
  <si>
    <t>4ml西林瓶离心浓缩模块V1.0</t>
  </si>
  <si>
    <t xml:space="preserve">1、真空度 ok
2、浓缩速度 0.6ml/min
3、噪音 70分贝左右
</t>
  </si>
  <si>
    <t>通过19</t>
  </si>
  <si>
    <t>HHM05G-050</t>
  </si>
  <si>
    <t>50ml西林瓶离心浓缩模块V1.0</t>
  </si>
  <si>
    <t xml:space="preserve">1、真空度 ok
2、浓缩速度 1.25ml/min
3、噪音 70分贝左右
</t>
  </si>
  <si>
    <t>800*850mm离心管自动化岛标准平台V3.3</t>
  </si>
  <si>
    <t>1、门关闭声音有点大
2、散热要不要考虑</t>
  </si>
  <si>
    <t>3.2万次</t>
  </si>
  <si>
    <t>HHM05H-010</t>
  </si>
  <si>
    <t>10ml大容量连续浓缩模块</t>
  </si>
  <si>
    <t>1、浓缩模块 
2、移液模块</t>
  </si>
  <si>
    <t>通过20</t>
  </si>
  <si>
    <t>HHM23L-250</t>
  </si>
  <si>
    <t>250m1锥形瓶恒温磁力搅拌模块</t>
  </si>
  <si>
    <t>米红海
胡瑞良</t>
  </si>
  <si>
    <t>1、加热温度到80度  ±1度
2、保温 OK
3、孔位温差 &lt;1度
4、搅拌效果 OK</t>
  </si>
  <si>
    <t>通过21</t>
  </si>
  <si>
    <t>HHM23H-010</t>
  </si>
  <si>
    <t>10ml西林瓶加液混匀模块</t>
  </si>
  <si>
    <r>
      <rPr>
        <sz val="14"/>
        <color theme="1"/>
        <rFont val="宋体"/>
        <charset val="134"/>
        <scheme val="minor"/>
      </rPr>
      <t xml:space="preserve">1、电机1000rpm时不会有液体沾到胶皮上；
2、混匀效果OK
</t>
    </r>
    <r>
      <rPr>
        <sz val="14"/>
        <color rgb="FFFF0000"/>
        <rFont val="宋体"/>
        <charset val="134"/>
        <scheme val="minor"/>
      </rPr>
      <t>3、涡旋电机弹簧线内部折断</t>
    </r>
    <r>
      <rPr>
        <sz val="14"/>
        <color theme="1"/>
        <rFont val="宋体"/>
        <charset val="134"/>
        <scheme val="minor"/>
      </rPr>
      <t xml:space="preserve">
4、正压加液挂液 忽略
</t>
    </r>
  </si>
  <si>
    <t>通过22</t>
  </si>
  <si>
    <t>HHM17A-050</t>
  </si>
  <si>
    <t>50ml合成反应器模块-制热</t>
  </si>
  <si>
    <r>
      <rPr>
        <sz val="14"/>
        <color theme="1"/>
        <rFont val="宋体"/>
        <charset val="134"/>
        <scheme val="minor"/>
      </rPr>
      <t>1、反应温度200°</t>
    </r>
    <r>
      <rPr>
        <sz val="14"/>
        <rFont val="宋体"/>
        <charset val="134"/>
        <scheme val="minor"/>
      </rPr>
      <t xml:space="preserve"> ok；不同瓶子测试传导温度小于1度</t>
    </r>
    <r>
      <rPr>
        <sz val="14"/>
        <color theme="1"/>
        <rFont val="宋体"/>
        <charset val="134"/>
        <scheme val="minor"/>
      </rPr>
      <t xml:space="preserve">
2、升温速率13°/min ok
3、降到室温 20分钟
4、密封 ok
5、磁粒子搅拌  ok
</t>
    </r>
    <r>
      <rPr>
        <sz val="11"/>
        <color rgb="FFFF0000"/>
        <rFont val="宋体"/>
        <charset val="134"/>
        <scheme val="minor"/>
      </rPr>
      <t>6、反应瓶裂纹</t>
    </r>
  </si>
  <si>
    <t>红外测试液体的温度</t>
  </si>
  <si>
    <t>HHM09H-015</t>
  </si>
  <si>
    <t>15ml液体全量转移模块V1.0</t>
  </si>
  <si>
    <r>
      <rPr>
        <sz val="14"/>
        <color theme="1"/>
        <rFont val="宋体"/>
        <charset val="134"/>
        <scheme val="minor"/>
      </rPr>
      <t xml:space="preserve">1、拧盖OK
2、液体全量转移有机溶剂OK
   </t>
    </r>
    <r>
      <rPr>
        <sz val="14"/>
        <color rgb="FFFF0000"/>
        <rFont val="宋体"/>
        <charset val="134"/>
        <scheme val="minor"/>
      </rPr>
      <t>水会残留一点</t>
    </r>
  </si>
  <si>
    <t>HHM04G-901</t>
  </si>
  <si>
    <t>10cc自动上样SPE模块</t>
  </si>
  <si>
    <t>刘业鹏</t>
  </si>
  <si>
    <r>
      <rPr>
        <sz val="14"/>
        <color theme="1"/>
        <rFont val="宋体"/>
        <charset val="134"/>
        <scheme val="minor"/>
      </rPr>
      <t xml:space="preserve">1、胶塞密封性  OK
2、样品剩余量80UL以下
3、滴液速度：可控
</t>
    </r>
    <r>
      <rPr>
        <sz val="14"/>
        <color rgb="FFFF0000"/>
        <rFont val="宋体"/>
        <charset val="134"/>
        <scheme val="minor"/>
      </rPr>
      <t>4、取液针左右通道高度有差异</t>
    </r>
  </si>
  <si>
    <t>通过23</t>
  </si>
  <si>
    <t>HHM04H-901</t>
  </si>
  <si>
    <t>6cc自动上样SPE模块</t>
  </si>
  <si>
    <t>HHM01C-901</t>
  </si>
  <si>
    <t>25-200ml容量瓶翻转摇匀模块v3.0</t>
  </si>
  <si>
    <r>
      <rPr>
        <sz val="14"/>
        <color theme="1"/>
        <rFont val="宋体"/>
        <charset val="134"/>
        <scheme val="minor"/>
      </rPr>
      <t xml:space="preserve">1、容量瓶夹紧，翻转 OK
2、上下料 OK
3、上下料传感器检测 OK
4、不同规格容量瓶 ok
</t>
    </r>
    <r>
      <rPr>
        <sz val="14"/>
        <color rgb="FFFF0000"/>
        <rFont val="宋体"/>
        <charset val="134"/>
        <scheme val="minor"/>
      </rPr>
      <t>5、瓶口漏液 NG,容量瓶问题</t>
    </r>
  </si>
  <si>
    <t>通过24</t>
  </si>
  <si>
    <t>HHM01B-901</t>
  </si>
  <si>
    <t>1、上下料 OK
2、容量瓶夹紧，平遥 OK
3、上下料传感器检测 OK
4、不同规格容量瓶 OK</t>
  </si>
  <si>
    <t>HHM01G-250</t>
  </si>
  <si>
    <t>250ml锥形瓶恒温振荡模块</t>
  </si>
  <si>
    <t>1、瓶塞传感器 OK
2、温度传感器 OK
3、升温速率 6度左右/min
4、平遥速度：150RPM</t>
  </si>
  <si>
    <t>通过25</t>
  </si>
  <si>
    <t>HHM10K-901</t>
  </si>
  <si>
    <t>自动补液系统模块</t>
  </si>
  <si>
    <t>1、高液位、低液位感应 OK</t>
  </si>
  <si>
    <t>HHM09L-250</t>
  </si>
  <si>
    <t>250ml锥形瓶全量转移模块</t>
  </si>
  <si>
    <r>
      <rPr>
        <sz val="14"/>
        <color theme="1"/>
        <rFont val="宋体"/>
        <charset val="134"/>
        <scheme val="minor"/>
      </rPr>
      <t xml:space="preserve">1、剩余液体量0.15-0.25ml
2、喷淋效果倾斜面欠佳
3、单次移液量35ml
</t>
    </r>
    <r>
      <rPr>
        <sz val="14"/>
        <color rgb="FFFF0000"/>
        <rFont val="宋体"/>
        <charset val="134"/>
        <scheme val="minor"/>
      </rPr>
      <t>4、效率 10分钟以内</t>
    </r>
  </si>
  <si>
    <t>通过26</t>
  </si>
  <si>
    <t>HHM01H-250</t>
  </si>
  <si>
    <t>250m1锥形瓶加液振摇模块</t>
  </si>
  <si>
    <t>许云燕</t>
  </si>
  <si>
    <t>1、拧盖OK
2、磁粒子搅拌  OK
3、模块效率 2分8秒；搅拌60s
4、噪音 小于65分贝</t>
  </si>
  <si>
    <t>HHM31D-001</t>
  </si>
  <si>
    <t>萃取瓶调PH模块</t>
  </si>
  <si>
    <r>
      <rPr>
        <sz val="14"/>
        <color theme="1"/>
        <rFont val="宋体"/>
        <charset val="134"/>
        <scheme val="minor"/>
      </rPr>
      <t xml:space="preserve">1、调PH精度  OK
2、摇匀  OK
3、清洗 OK
4、加液精度 OK
</t>
    </r>
    <r>
      <rPr>
        <sz val="14"/>
        <color rgb="FFFF0000"/>
        <rFont val="宋体"/>
        <charset val="134"/>
        <scheme val="minor"/>
      </rPr>
      <t>5、没做萃取瓶的上料操作</t>
    </r>
  </si>
  <si>
    <t>HHM47A-100</t>
  </si>
  <si>
    <t>100ml石墨赶酸模块v2.0</t>
  </si>
  <si>
    <r>
      <rPr>
        <sz val="14"/>
        <color theme="1"/>
        <rFont val="宋体"/>
        <charset val="134"/>
        <scheme val="minor"/>
      </rPr>
      <t>1、升温速率 9°/min
2、保温 温差±1度   OK
3、降温速率 4°/min
4、孔位温差 ±2°  ok
5、消解管管口 冷凝水 无
6、通风橱上端 冷凝水 无
7、升降温时间 60min左右
8</t>
    </r>
    <r>
      <rPr>
        <sz val="14"/>
        <color rgb="FFFF0000"/>
        <rFont val="宋体"/>
        <charset val="134"/>
        <scheme val="minor"/>
      </rPr>
      <t xml:space="preserve">、赶酸终点判断 客户需要做方法
</t>
    </r>
  </si>
  <si>
    <t>通过27</t>
  </si>
  <si>
    <t>HHM08B-010</t>
  </si>
  <si>
    <t>10ml比色管定容模块</t>
  </si>
  <si>
    <t>许云燕-唐宋</t>
  </si>
  <si>
    <t>1、重复精度 18mg以内；视觉定容刻度线差距0.4mm以内
2、比色管传感器 OK
3、空管定容时间60S</t>
  </si>
  <si>
    <t>涂高祥</t>
  </si>
  <si>
    <t>HHM50B-005</t>
  </si>
  <si>
    <t>5ml离心管拆盖加液涡旋吸磁模块</t>
  </si>
  <si>
    <t>黄锐-王志</t>
  </si>
  <si>
    <t>曾长龙</t>
  </si>
  <si>
    <t>1、拆合盖           ok
2、加液    ≥0.5ml  ok
3、涡旋             ok
4、效率：30S+涡旋时间</t>
  </si>
  <si>
    <t>通过28</t>
  </si>
  <si>
    <t>50ml合成反应制冷反应器模块</t>
  </si>
  <si>
    <r>
      <rPr>
        <sz val="14"/>
        <color theme="1"/>
        <rFont val="宋体"/>
        <charset val="134"/>
        <scheme val="minor"/>
      </rPr>
      <t xml:space="preserve">1、制冷保温-20度  OK
2、反应最长50个小时
3、密封性OK
</t>
    </r>
    <r>
      <rPr>
        <sz val="14"/>
        <color rgb="FFFF0000"/>
        <rFont val="宋体"/>
        <charset val="134"/>
        <scheme val="minor"/>
      </rPr>
      <t>4、载台冷凝水   ×</t>
    </r>
  </si>
  <si>
    <t>补降温曲线</t>
  </si>
  <si>
    <t>HHM12A-250</t>
  </si>
  <si>
    <t>250ml锥形瓶加内标模块</t>
  </si>
  <si>
    <r>
      <rPr>
        <sz val="14"/>
        <color theme="1"/>
        <rFont val="宋体"/>
        <charset val="134"/>
        <scheme val="minor"/>
      </rPr>
      <t xml:space="preserve">1、加液精度 ±2%   OK
2、效率：97秒
</t>
    </r>
    <r>
      <rPr>
        <sz val="14"/>
        <color rgb="FFFF0000"/>
        <rFont val="宋体"/>
        <charset val="134"/>
        <scheme val="minor"/>
      </rPr>
      <t>3、针头不够长，不能到达内标瓶底部，20%内标吸不到</t>
    </r>
  </si>
  <si>
    <t>测试下50ul/80UL加标精度</t>
  </si>
  <si>
    <t>HHM43C-001</t>
  </si>
  <si>
    <t>落地式仓库模块</t>
  </si>
  <si>
    <r>
      <rPr>
        <sz val="14"/>
        <color theme="1"/>
        <rFont val="宋体"/>
        <charset val="134"/>
        <scheme val="minor"/>
      </rPr>
      <t xml:space="preserve">1、出入库时间 9-18S
2、取放托盘精准度  OK
3、XZ轴+货叉  75 DB
</t>
    </r>
    <r>
      <rPr>
        <sz val="14"/>
        <color rgb="FFFF0000"/>
        <rFont val="宋体"/>
        <charset val="134"/>
        <scheme val="minor"/>
      </rPr>
      <t>4、电子锁 90+ DB
5、外罩没到</t>
    </r>
  </si>
  <si>
    <t>通过29</t>
  </si>
  <si>
    <t>HHM04J-005</t>
  </si>
  <si>
    <t>5cc 针式过滤模块V1.0</t>
  </si>
  <si>
    <r>
      <rPr>
        <sz val="14"/>
        <color theme="1"/>
        <rFont val="宋体"/>
        <charset val="134"/>
        <scheme val="minor"/>
      </rPr>
      <t xml:space="preserve">1、效率 8分40s
2、密封OK
3、上下料OK
4、两边取液量 OK
</t>
    </r>
    <r>
      <rPr>
        <sz val="14"/>
        <color rgb="FFFF0000"/>
        <rFont val="宋体"/>
        <charset val="134"/>
        <scheme val="minor"/>
      </rPr>
      <t>5、清洗后，注射泵有残留液体  ×</t>
    </r>
  </si>
  <si>
    <t>HHM01J-005</t>
  </si>
  <si>
    <t>5m1离心管恒温振摇反应模块</t>
  </si>
  <si>
    <t>陈浩平</t>
  </si>
  <si>
    <t>1、升温速率 10.5°/min
2、60-80度孔温温差 &lt;1°
   90°孔温温差＜3°
3、加热棒保温温差＜1°
4、平遥速度300-500RPM,噪音小于65DB</t>
  </si>
  <si>
    <t>通过30</t>
  </si>
  <si>
    <t>HHM23K-250</t>
  </si>
  <si>
    <t>250ml锥形瓶加磁力搅拌子模块</t>
  </si>
  <si>
    <t>1、250ml锥形瓶拧合盖 OK
2、弹夹+250ml锥形瓶上下料 OK
3、磁粒子上料 OK
4、磁粒子搅拌 OK</t>
  </si>
  <si>
    <t>通过31</t>
  </si>
  <si>
    <t>HHM10L-005</t>
  </si>
  <si>
    <t>5ml注射泵加液模块</t>
  </si>
  <si>
    <t>1、加液精度 ±1% OK
2、润管  OK
3、密封  OK</t>
  </si>
  <si>
    <t>HHM10L-010</t>
  </si>
  <si>
    <t>10ml注射泵加液模块</t>
  </si>
  <si>
    <t>HHM14E-010</t>
  </si>
  <si>
    <t>10ML西林瓶多通道超声模块</t>
  </si>
  <si>
    <t>1、超声效果   未知
2、密封  OK
3、温控  OK 
4、排水  OK</t>
  </si>
  <si>
    <t>HHM05K-035</t>
  </si>
  <si>
    <t>35ml西林瓶离心浓缩模块V1.0（防腐高温）</t>
  </si>
  <si>
    <t>1、浓缩时间 6000 Rpm  100°
   15min  110度  10min
2、真空度 OK
3、加热温度 110度，客户要求到120°
4、耐腐蚀   未知</t>
  </si>
  <si>
    <t>HHM11B-250</t>
  </si>
  <si>
    <t>250ml锥形瓶连续加盐模块</t>
  </si>
  <si>
    <t>高工-王志</t>
  </si>
  <si>
    <r>
      <rPr>
        <sz val="14"/>
        <color theme="1"/>
        <rFont val="宋体"/>
        <charset val="134"/>
        <scheme val="minor"/>
      </rPr>
      <t xml:space="preserve">1、加盐精度  OK
    小于1g   ±10%
    1-10g    ±3%
2、撒盐  少许  ok
3、卡轴  无
</t>
    </r>
    <r>
      <rPr>
        <strike/>
        <sz val="14"/>
        <color theme="1"/>
        <rFont val="宋体"/>
        <charset val="134"/>
        <scheme val="minor"/>
      </rPr>
      <t>4、盐管无法上下料</t>
    </r>
  </si>
  <si>
    <t>通过32</t>
  </si>
  <si>
    <t>1、平台继续跑</t>
  </si>
  <si>
    <t>HHM10G-002</t>
  </si>
  <si>
    <t>萃取瓶加内标模块</t>
  </si>
  <si>
    <t>1、注射器耐用性
2、挂液  无明显挂液
3、精度
4、功能验证完成</t>
  </si>
  <si>
    <t>HHM43E-002</t>
  </si>
  <si>
    <t>800样品存储模块</t>
  </si>
  <si>
    <t>1、上下料  ok
2、密封性  ok
3、温控 0-10度  ±2°  ok
4、噪音 ≤62DB</t>
  </si>
  <si>
    <t>7200分钟</t>
  </si>
  <si>
    <t>通过33</t>
  </si>
  <si>
    <t>HHM09N-002</t>
  </si>
  <si>
    <t>10ml移液模块-V1.0</t>
  </si>
  <si>
    <t>1、9ml/5ml 精度 ±1% 内
2、10ml量程达不到，最多0.98ml</t>
  </si>
  <si>
    <t>2万</t>
  </si>
  <si>
    <t>迭代</t>
  </si>
  <si>
    <t>性能验证，做迭代</t>
  </si>
  <si>
    <t>HHM09N-001</t>
  </si>
  <si>
    <t>1ml移液模块-v1.0</t>
  </si>
  <si>
    <t>1、1ml/0.5ml 精度 ±1% 内
2、量程切换会出现误差几针超过1%，随着时间延长，过度针数会延多</t>
  </si>
  <si>
    <t>1.2万次</t>
  </si>
  <si>
    <t>通过34</t>
  </si>
  <si>
    <t>1月深圳财务入库</t>
  </si>
  <si>
    <t>HHM03H-002</t>
  </si>
  <si>
    <t>2ml离心管拆装盖涡旋模块</t>
  </si>
  <si>
    <t>梁似河 
朱国玉</t>
  </si>
  <si>
    <t>1、拧盖 OK
2、涡旋2500rpm 1.5ML OK
3、离心管不会被带起来
4、噪音低于65DB</t>
  </si>
  <si>
    <t>通过35</t>
  </si>
  <si>
    <t>HHM01A-050</t>
  </si>
  <si>
    <t>50ml垂直震荡模块模块</t>
  </si>
  <si>
    <t>1、振荡速度1-500RPM
2、噪音 65DB 左右</t>
  </si>
  <si>
    <t>财务入库-受托（12月）</t>
  </si>
  <si>
    <t>HHM09F-050</t>
  </si>
  <si>
    <t>50ml全量液体转移模块</t>
  </si>
  <si>
    <t>1、拧盖 OK
2、10-50ML液体转移 OK</t>
  </si>
  <si>
    <t>HHM03H-015</t>
  </si>
  <si>
    <t>15M离心管拆盖涡旋模块</t>
  </si>
  <si>
    <t>1、拧盖 OK
2、涡旋2500rpm  OK
3、离心管不会被带起来
4、噪音65DB左右</t>
  </si>
  <si>
    <t>HHM04M-002.5</t>
  </si>
  <si>
    <t>2.5cc 注射器过滤模块</t>
  </si>
  <si>
    <t>杜悦城</t>
  </si>
  <si>
    <t>朱国玉
米红海</t>
  </si>
  <si>
    <t>1、密封 下压处、针式滤头连接处  OK
2、注射器 不会被带起
3、甲醇/水过滤量可调控
4、滤头差异影响过滤效果</t>
  </si>
  <si>
    <t>通过36</t>
  </si>
  <si>
    <t>生产2套</t>
  </si>
  <si>
    <t>HHM03L-050</t>
  </si>
  <si>
    <t>50ml离心管加盐涡旋模块（无触摸屏版)</t>
  </si>
  <si>
    <t>1、涡旋2500转噪音  低于65分贝
2、盐管开合盖 OK；加盐OK
3、离心管拧合盖 OK</t>
  </si>
  <si>
    <t>通过37</t>
  </si>
  <si>
    <t>拖链线安装方式</t>
  </si>
  <si>
    <t>3cc/6cc SPE模块</t>
  </si>
  <si>
    <t>1、上下料 OK
2、胶塞密封性  OK
3、滴液速度：可控
4、方法1  32分钟+4分钟上下料  
   方法2  13分钟
5、排废  OK</t>
  </si>
  <si>
    <t>通过38</t>
  </si>
  <si>
    <t>22.5</t>
  </si>
  <si>
    <t>HHM08C-901</t>
  </si>
  <si>
    <t>注射器定容模块(250u1/1000u1)</t>
  </si>
  <si>
    <t>邱泽成
胡瑞良</t>
  </si>
  <si>
    <t>1、250/1000UL 精度 ±0.6% ok
2、效率 180S
2、挂液 极少
3、清洗  OK
4、效率4分30s</t>
  </si>
  <si>
    <t xml:space="preserve"> HHM10B-025-UD</t>
  </si>
  <si>
    <t>25ml注射泵加液模块</t>
  </si>
  <si>
    <t>1、5ml/10ML/15ML/20ML/25ML
   精度 ±0.7%  标准 ±1%
2、时效  44S
3、密封  OK
4、在活塞和顶部有气泡附着</t>
  </si>
  <si>
    <t>HHM03K-050</t>
  </si>
  <si>
    <t>50ml离心管单涡旋模块</t>
  </si>
  <si>
    <t>1、涡旋效果 OK
2、涡旋噪音 低于 65DB</t>
  </si>
  <si>
    <t>通过39</t>
  </si>
  <si>
    <t>15</t>
  </si>
  <si>
    <t>HHM02Q-002</t>
  </si>
  <si>
    <t>2ml离心管/西林瓶拆盖吸磁模块</t>
  </si>
  <si>
    <t>1、西林瓶拧合盖 OK
2、离心管拧合盖 OK</t>
  </si>
  <si>
    <t>通过40</t>
  </si>
  <si>
    <t>涂总</t>
  </si>
  <si>
    <t>HHM31A-050-V2.0</t>
  </si>
  <si>
    <t>50ml离心管pH调测模块V2.0（无触摸平版）</t>
  </si>
  <si>
    <t>1、PH 调测精度  ±0.5
2、清洗时间 3min；检测时间1-3min
3、清洗吹干  OK
4、混匀效果  OK</t>
  </si>
  <si>
    <t>通过41</t>
  </si>
  <si>
    <t>排产1套，二季度需求</t>
  </si>
  <si>
    <t>HHM01K-150</t>
  </si>
  <si>
    <t>150ml面包瓶锥形瓶振摇模块</t>
  </si>
  <si>
    <t>1、支持150ml面包瓶,锥形瓶不适用
2、摇匀速度 0-3000 可设置
3、传感器 OK
4、摇匀效果；液体旋转
5、联调没做，到平台上直接做</t>
  </si>
  <si>
    <t>通过42</t>
  </si>
  <si>
    <t>22.3</t>
  </si>
  <si>
    <t>打印套子，支持锥形瓶</t>
  </si>
  <si>
    <t>暂未排产，二季度研发转生产</t>
  </si>
  <si>
    <t>HHM01C-904</t>
  </si>
  <si>
    <t>50-250ml容量瓶翻转摇匀模块</t>
  </si>
  <si>
    <t>1、传感器感应 棕色、透明 OK
2、4个类型容量瓶翻转 OK
3、真空电磁阀 OK
4、联调没做，到平台上直接做</t>
  </si>
  <si>
    <t>生产2套，二季度生产需求</t>
  </si>
  <si>
    <t>HHM10N-150</t>
  </si>
  <si>
    <t>150ml面包瓶拔塞加液模块</t>
  </si>
  <si>
    <t>1、传感器感应 不同颜色液体 OK
2、拆装盖  OK
3、加液 无挂液 OK
4、联调没做，到平台上直接做</t>
  </si>
  <si>
    <t>暂未排产</t>
  </si>
  <si>
    <t>HHM14A-902</t>
  </si>
  <si>
    <t>50-250ml容量瓶超声模块(12通道)</t>
  </si>
  <si>
    <t>1、4类容量瓶上下料 OK
2、超声效果用软糖测试 明显
3、半导体制冷 室温 ±2°
4、噪音75.5DB以上</t>
  </si>
  <si>
    <t>HHM08E-035</t>
  </si>
  <si>
    <t>35ml消解管清洗定容模块</t>
  </si>
  <si>
    <t>1、消解管清洗吹干功能  有水滴残留
2、拆盖/合盖  OK
3、正压加液  ±1% OK
4、超声波位移传感器  ×</t>
  </si>
  <si>
    <t>HHM40Q-001</t>
  </si>
  <si>
    <t>水质分样平台</t>
  </si>
  <si>
    <t>1、拧盖/合盖功能  OK
2、分样精度  ±2%  OK
3、并发性  ×</t>
  </si>
  <si>
    <t>通过43</t>
  </si>
  <si>
    <t>348</t>
  </si>
  <si>
    <t>生产模块测试</t>
  </si>
  <si>
    <t>数量</t>
  </si>
  <si>
    <t>产品序列号</t>
  </si>
  <si>
    <t>通过日期</t>
  </si>
  <si>
    <t>模块重量Kg</t>
  </si>
  <si>
    <t>易安平台</t>
  </si>
  <si>
    <t>50ml离心管垂直振荡模块</t>
  </si>
  <si>
    <t>1、同步轮轴加工有误差，已更新</t>
  </si>
  <si>
    <t>通过</t>
  </si>
  <si>
    <t>15ml离心管拆盖加液模块
(5台)</t>
  </si>
  <si>
    <t>1、手指包胶容易破裂
2、4.17更换了手指</t>
  </si>
  <si>
    <t>SN20250225001</t>
  </si>
  <si>
    <t>SN20250225002</t>
  </si>
  <si>
    <t>SN20250225003</t>
  </si>
  <si>
    <t>SN20250225004</t>
  </si>
  <si>
    <t>SN20250225005</t>
  </si>
  <si>
    <t>15ml离心管拆盖加液涡旋模块
(5台)</t>
  </si>
  <si>
    <t>1、手指包胶容易破裂
2、SN20250224004 涡旋电机坏
3、装配时螺丝掉在涡旋电机上方，卡住
4、4.17更换了手指</t>
  </si>
  <si>
    <t>SN20250224001</t>
  </si>
  <si>
    <t>SN20250224002</t>
  </si>
  <si>
    <t>SN20250224003</t>
  </si>
  <si>
    <t>SN20250224004</t>
  </si>
  <si>
    <t>SN20250224005</t>
  </si>
  <si>
    <t>50ml离心管拆盖加液涡旋模块
（10台）</t>
  </si>
  <si>
    <t>1、噪音大
2、手指包胶容易破裂
3、4.17更换了手指
4、4.16号，3台设备做了减少噪音改进件；在噪音标准内；其他6台做同样的改进
5、4.24号改造完成</t>
  </si>
  <si>
    <t>SN20250221001</t>
  </si>
  <si>
    <t>SN20250221002</t>
  </si>
  <si>
    <t>SN20250221003</t>
  </si>
  <si>
    <t>SN20250221004</t>
  </si>
  <si>
    <t>SN20250221005</t>
  </si>
  <si>
    <t>SN20250221006</t>
  </si>
  <si>
    <t>SN20250221007</t>
  </si>
  <si>
    <t>SN20250221008</t>
  </si>
  <si>
    <t>SN20250221009</t>
  </si>
  <si>
    <t>50ml离心管液体全量转移
(5台)</t>
  </si>
  <si>
    <t>1、手指不是最新款，有隐患
2、4.17号已更换手指</t>
  </si>
  <si>
    <t>SN20250225006</t>
  </si>
  <si>
    <t>SN20250225007</t>
  </si>
  <si>
    <t>SN20250225008</t>
  </si>
  <si>
    <t>SN20250225009</t>
  </si>
  <si>
    <t>SN20250225010</t>
  </si>
  <si>
    <t>正压加液控制器
（10台）</t>
  </si>
  <si>
    <t>1、正常保压
2、漏气30S报警</t>
  </si>
  <si>
    <t>SN20250319010</t>
  </si>
  <si>
    <t>SN20250319011</t>
  </si>
  <si>
    <t>SN20250319012</t>
  </si>
  <si>
    <t>SN20250319013</t>
  </si>
  <si>
    <t>SN20250319014</t>
  </si>
  <si>
    <t>SN20250319015</t>
  </si>
  <si>
    <t>SN20250319016</t>
  </si>
  <si>
    <t>SN20250319017</t>
  </si>
  <si>
    <t>SN20250319018</t>
  </si>
  <si>
    <t>SN20250319019</t>
  </si>
  <si>
    <t>HHM02M-002</t>
  </si>
  <si>
    <t>2ml离心管&amp;西林瓶拆装盖加液模块V2.0
(5台)</t>
  </si>
  <si>
    <t>3*24小时测试</t>
  </si>
  <si>
    <t>SN20250417001</t>
  </si>
  <si>
    <t>SN20250417002</t>
  </si>
  <si>
    <t>SN20250417003</t>
  </si>
  <si>
    <t>SN20250417004</t>
  </si>
  <si>
    <t>SN20250417005</t>
  </si>
  <si>
    <t>HHM23H-004</t>
  </si>
  <si>
    <t>4ml西林瓶正压加液模块</t>
  </si>
  <si>
    <t>SN20250416001</t>
  </si>
  <si>
    <t>SN20250416002</t>
  </si>
  <si>
    <t>HHM02F-901</t>
  </si>
  <si>
    <t>30-125ml PP瓶拆装盖模块</t>
  </si>
  <si>
    <t>SN20250402001</t>
  </si>
  <si>
    <t>SN20250402002</t>
  </si>
  <si>
    <t>SN20250402003</t>
  </si>
  <si>
    <t>SN20250402004</t>
  </si>
  <si>
    <t>SN20250402005</t>
  </si>
  <si>
    <t>SN20250402006</t>
  </si>
  <si>
    <t>SN20250402007</t>
  </si>
  <si>
    <t>SN20250402008</t>
  </si>
  <si>
    <t>HHM05D-035</t>
  </si>
  <si>
    <t>1、密封性 OK
2、瓶口垫片 OK
3、双通道一致性 OK 可调
4、加热温度OK</t>
  </si>
  <si>
    <t>SN20250310001</t>
  </si>
  <si>
    <t>SN20250310002</t>
  </si>
  <si>
    <t>SN20250310003</t>
  </si>
  <si>
    <t>SN20250310004</t>
  </si>
  <si>
    <t>SN20250310005</t>
  </si>
  <si>
    <t>HHM05D-010</t>
  </si>
  <si>
    <t>SN20250311004</t>
  </si>
  <si>
    <t>SN20250311005</t>
  </si>
  <si>
    <t>HHM05D-002</t>
  </si>
  <si>
    <t>SN20250311001</t>
  </si>
  <si>
    <t>SN20250311002</t>
  </si>
  <si>
    <t>SN20250311003</t>
  </si>
  <si>
    <t>HHM11A-002</t>
  </si>
  <si>
    <t>2ml离心管连续加盐模块V1.0</t>
  </si>
  <si>
    <t>朱国玉
邱泽成</t>
  </si>
  <si>
    <t>1、加盐精度OK
2、撒盐 ok</t>
  </si>
  <si>
    <t>SN20250307001</t>
  </si>
  <si>
    <t>SN20250307002</t>
  </si>
  <si>
    <t>SN20250307003</t>
  </si>
  <si>
    <t>HHM14C-050</t>
  </si>
  <si>
    <t>正藏</t>
  </si>
  <si>
    <t>1、超声时间OK
2、密封 ok
3、排液 OK
4、控温 ok</t>
  </si>
  <si>
    <t>SN20250513001</t>
  </si>
  <si>
    <t>SN20250513002</t>
  </si>
  <si>
    <t>SN20250513003</t>
  </si>
  <si>
    <t>SN20250513004</t>
  </si>
  <si>
    <t>SN20250513005</t>
  </si>
  <si>
    <t>1、涡旋OK
2、噪音OK
3、拧合盖OK</t>
  </si>
  <si>
    <t>SN20250331001</t>
  </si>
  <si>
    <t>SN20250331002</t>
  </si>
  <si>
    <t>SN20250331003</t>
  </si>
  <si>
    <t>SN20250331004</t>
  </si>
  <si>
    <t>SN20250331005</t>
  </si>
  <si>
    <t>SN20250331006</t>
  </si>
  <si>
    <t>SN20250331007</t>
  </si>
  <si>
    <t>SN20250331008</t>
  </si>
  <si>
    <t>HHM03J-050</t>
  </si>
  <si>
    <t>1、西林瓶拧合盖OK
2、离心管拧合盖OK</t>
  </si>
  <si>
    <t>SN20250519001</t>
  </si>
  <si>
    <t>SN20250519002</t>
  </si>
  <si>
    <t>SN20250519003</t>
  </si>
  <si>
    <t>SN20250519004</t>
  </si>
  <si>
    <t>SN20250519005</t>
  </si>
  <si>
    <t>SN20250519006</t>
  </si>
  <si>
    <t>SN20250519007</t>
  </si>
  <si>
    <t>SN20250519008</t>
  </si>
  <si>
    <t>HHM10E-100</t>
  </si>
  <si>
    <t>100ml消解管拆盖加液模块</t>
  </si>
  <si>
    <t>SN20250418001</t>
  </si>
  <si>
    <t>SN20250418002</t>
  </si>
  <si>
    <t>SN20250418003</t>
  </si>
  <si>
    <t>SN20250418004</t>
  </si>
  <si>
    <t>HHM08A-901</t>
  </si>
  <si>
    <t>25-200ml容量瓶视觉定容模块</t>
  </si>
  <si>
    <t>1、捕捉刻度线OK
2、精度OK</t>
  </si>
  <si>
    <t>SN20250308001</t>
  </si>
  <si>
    <t>SN20250308002</t>
  </si>
  <si>
    <t>SN20250308003</t>
  </si>
  <si>
    <t>SN20250308004</t>
  </si>
  <si>
    <t>SN20250308005</t>
  </si>
  <si>
    <t>SN20250308006</t>
  </si>
  <si>
    <t>1、2通道张口不一致；加四轴固定
2、下料有风险，加定位 已解决</t>
  </si>
  <si>
    <t>SN202528003</t>
  </si>
  <si>
    <t>SN202528004</t>
  </si>
  <si>
    <t>HHM10F-901</t>
  </si>
  <si>
    <t>1、拔塞/合塞  ok
2、加液 OK</t>
  </si>
  <si>
    <t>SN20250328002</t>
  </si>
  <si>
    <t>SN20250328003</t>
  </si>
  <si>
    <t>SN20250328004</t>
  </si>
  <si>
    <t>SN20250328005</t>
  </si>
  <si>
    <t>SN20250328006</t>
  </si>
  <si>
    <t>SN20250328007</t>
  </si>
  <si>
    <t>SN20250328008</t>
  </si>
  <si>
    <t>SN20250328009</t>
  </si>
  <si>
    <t>SN20250328010</t>
  </si>
  <si>
    <t>SN20250328011</t>
  </si>
  <si>
    <t>1、降温速度 1.2度/min
2、离心速度 14000RPM
3、震动XYZ 小于 50
4、离心噪音 小于60分贝
5、真空 -75KPA
6、真空泵噪音 忽略
7、离心口有少许水 忽略</t>
  </si>
  <si>
    <t>SN20250528001</t>
  </si>
  <si>
    <t>2840分钟</t>
  </si>
  <si>
    <t>SN20250528002</t>
  </si>
  <si>
    <t>2913分钟</t>
  </si>
  <si>
    <r>
      <rPr>
        <sz val="11"/>
        <color theme="1"/>
        <rFont val="宋体"/>
        <charset val="134"/>
        <scheme val="minor"/>
      </rPr>
      <t xml:space="preserve">1、XYZ运行正常
2、搬运物料从最左边到最右边OK;
</t>
    </r>
    <r>
      <rPr>
        <sz val="11"/>
        <color rgb="FFFF0000"/>
        <rFont val="宋体"/>
        <charset val="134"/>
        <scheme val="minor"/>
      </rPr>
      <t>3、夹爪的安装位置要根据需要进行调整；</t>
    </r>
  </si>
  <si>
    <t>SN20250328007
SN20250328008
SN20250328009
SN20250328010
SN20250328011
SN20250328012
SN20250328013
SN20250328014
SN20250328015
SN20250328016</t>
  </si>
  <si>
    <t>1.5万次+</t>
  </si>
  <si>
    <t>HHM06B-050</t>
  </si>
  <si>
    <t>50ml离心管均质模块2.0</t>
  </si>
  <si>
    <t>1、均质效果 当归测试OK
2、清洗效果外壁OK,内部会有少许残留
3、高液位检测 OK
4、刀头挂液问题 OK
5、噪音 85+</t>
  </si>
  <si>
    <t>SN20250429001</t>
  </si>
  <si>
    <t>SN20250429002</t>
  </si>
  <si>
    <t>SN20250429003</t>
  </si>
  <si>
    <t>SN20250429004</t>
  </si>
  <si>
    <t>SN20250429005</t>
  </si>
  <si>
    <t>HHM15C-050</t>
  </si>
  <si>
    <t>50ml-4孔位高速离心机模块V4.0（带XYZ）
转速RCF/6000~10000 rpm</t>
  </si>
  <si>
    <r>
      <rPr>
        <sz val="11"/>
        <color theme="1"/>
        <rFont val="宋体"/>
        <charset val="134"/>
        <scheme val="minor"/>
      </rPr>
      <t xml:space="preserve">1、降温速度 1.5度/min
2、离心速度 8000RPM
3、震动XYZ 小于 50
4、离心噪音 小于60分贝
5、真空 -70KPA
</t>
    </r>
    <r>
      <rPr>
        <sz val="11"/>
        <color rgb="FFFF0000"/>
        <rFont val="宋体"/>
        <charset val="134"/>
        <scheme val="minor"/>
      </rPr>
      <t>6、真空泵噪音 68分贝左右
7、离心口有少许水 忽略</t>
    </r>
  </si>
  <si>
    <t>SN20250527001</t>
  </si>
  <si>
    <t>5230分钟</t>
  </si>
  <si>
    <t>HM04G-006</t>
  </si>
  <si>
    <t>1、胶塞密封性  OK
2、胶塞不会被带起
3、滴液速度：可控
4、排废OK
5、注射泵左右通道高度有微差</t>
  </si>
  <si>
    <t>SN20250819001</t>
  </si>
  <si>
    <t>500-550</t>
  </si>
  <si>
    <t>SN20250819002</t>
  </si>
  <si>
    <t>SN20250819003</t>
  </si>
  <si>
    <t>SN20250819004</t>
  </si>
  <si>
    <t>SN20250819005</t>
  </si>
  <si>
    <t>SN20250819006</t>
  </si>
  <si>
    <t>SN20250819007</t>
  </si>
  <si>
    <t>SN20250819008</t>
  </si>
  <si>
    <t xml:space="preserve">HHM04J-005 </t>
  </si>
  <si>
    <t>5CC针式过滤模块</t>
  </si>
  <si>
    <t>1、效率 8分40s
2、密封OK
3、上下料OK
4、两边取液量 OK
5、排废 OK</t>
  </si>
  <si>
    <t>SN20250828001</t>
  </si>
  <si>
    <t>140天</t>
  </si>
  <si>
    <t>1、离心管、盐管上下料 OK
2、拧合盖  OK
3、加盐 不残留 不撒盐
4、涡旋  OK
5、噪音 
低于2300RPM 噪音 ＜65DB
2400-2800 噪音 75DB左右
大于2800  噪音 80DB左右
6、涡旋最大量液体 40ml</t>
  </si>
  <si>
    <t>SN20250515001</t>
  </si>
  <si>
    <t>SN20250515002</t>
  </si>
  <si>
    <t>SN20250515003</t>
  </si>
  <si>
    <t>SN20250515004</t>
  </si>
  <si>
    <t>SN20250515005</t>
  </si>
  <si>
    <t>HHM40L-002</t>
  </si>
  <si>
    <t>800-850离心管自动化岛平台-新托盘</t>
  </si>
  <si>
    <t>1、托盘上下料 OK
2、托盘感应器  OK 
3、定位稍  ok
4、物料抓取  ok
5、噪音 小于65DB</t>
  </si>
  <si>
    <t xml:space="preserve"> SN20250721002</t>
  </si>
  <si>
    <t>*</t>
  </si>
  <si>
    <t xml:space="preserve"> SN20250721003</t>
  </si>
  <si>
    <t xml:space="preserve"> SN20250721004</t>
  </si>
  <si>
    <t xml:space="preserve"> SN20250721005</t>
  </si>
  <si>
    <t>HHM40L-001</t>
  </si>
  <si>
    <t>1400-850离心管自动化岛平台</t>
  </si>
  <si>
    <t xml:space="preserve"> SN20250721006</t>
  </si>
  <si>
    <t xml:space="preserve"> SN20250721001</t>
  </si>
  <si>
    <t>HHM40N-002</t>
  </si>
  <si>
    <t>1400-850离心管自动化岛标准平台V4.0(滑动 离心机+三个模块)</t>
  </si>
  <si>
    <t>SN20250827001</t>
  </si>
  <si>
    <t>HHM40D-003</t>
  </si>
  <si>
    <t>1400-850离心管自动化岛标准平台-轻量化</t>
  </si>
  <si>
    <t>1、托盘上下料 OK
2、托盘感应器  OK 
4、物料抓取  ok
5、噪音 小于65DB</t>
  </si>
  <si>
    <t>SN20251011001</t>
  </si>
  <si>
    <t>SN20251010001</t>
  </si>
  <si>
    <t>15ml*4孔位高速离心机模块V4.0（带XYZ）</t>
  </si>
  <si>
    <r>
      <rPr>
        <sz val="11"/>
        <color theme="1"/>
        <rFont val="宋体"/>
        <charset val="134"/>
        <scheme val="minor"/>
      </rPr>
      <t xml:space="preserve">1、降温速度 1.2度/min
2、离心速度 8000RPM
3、震动XYZ 小于 50
4、离心噪音 小于65分贝
5、真空 -80KPA
</t>
    </r>
    <r>
      <rPr>
        <sz val="11"/>
        <color rgb="FFFF0000"/>
        <rFont val="宋体"/>
        <charset val="134"/>
        <scheme val="minor"/>
      </rPr>
      <t>6、真空泵噪音 68分贝左右
7、离心口有少许水 忽略</t>
    </r>
  </si>
  <si>
    <t>627次
14358分钟</t>
  </si>
  <si>
    <t>HHM10A-001</t>
  </si>
  <si>
    <t>8通道-正压加液模块</t>
  </si>
  <si>
    <t>1、气压0.2MPA±0.005
2、漏气报警 OK
3、8通道通气  OK</t>
  </si>
  <si>
    <t>SN20260203001-005</t>
  </si>
  <si>
    <t>8小时*8天</t>
  </si>
  <si>
    <t>HHM01A-050-V2.0</t>
  </si>
  <si>
    <t>50ml垂直震荡模块</t>
  </si>
  <si>
    <t>SN20260203006-008</t>
  </si>
  <si>
    <r>
      <rPr>
        <sz val="11"/>
        <color theme="1"/>
        <rFont val="宋体"/>
        <charset val="134"/>
        <scheme val="minor"/>
      </rPr>
      <t xml:space="preserve">1、降温速度 1-1.2度/min
2、离心速度 8000RPM
3、震动 4500-7500
4、离心噪音 小于65分贝
5、真空 -75KPA
</t>
    </r>
    <r>
      <rPr>
        <sz val="11"/>
        <color rgb="FFFF0000"/>
        <rFont val="宋体"/>
        <charset val="134"/>
        <scheme val="minor"/>
      </rPr>
      <t>6、真空泵噪音 70分贝左右
7、离心口有少许水 忽略</t>
    </r>
  </si>
  <si>
    <t>SN20250527002</t>
  </si>
  <si>
    <t>19112分钟</t>
  </si>
  <si>
    <t>HHM05D-050</t>
  </si>
  <si>
    <t>50ml西林瓶浓缩模块</t>
  </si>
  <si>
    <t>1、真空度 97Kpa+
2、水浓缩速度＞0.33ml/min
3、加热 最高55°
4、噪音 70分贝左右</t>
  </si>
  <si>
    <t>SN20251120001
SN20251120003
SN20251120004
SN20251120006
SN20251120007
SN20251120009
SN20251120011
SN20251120012
SN20251120013
SN20251120014
SN20251120015</t>
  </si>
  <si>
    <t>190-210</t>
  </si>
  <si>
    <t>HHM03A-015-V3.0</t>
  </si>
  <si>
    <t>15ml离心管拆盖加液涡旋模块
(2台)</t>
  </si>
  <si>
    <t>1、拧盖 合盖OK
2、涡旋 OK
3、2400 Rpm 噪音 65DB左右</t>
  </si>
  <si>
    <t>SN20260227003
SN20260227004</t>
  </si>
  <si>
    <t>6479
5309</t>
  </si>
  <si>
    <t>HHM03A-002-V3.0</t>
  </si>
  <si>
    <t>2ml离心管拆盖涡旋模块</t>
  </si>
  <si>
    <t>1、拧盖 合盖OK
2、涡旋 OK
3、2500Rpm  噪音 63-65 DB</t>
  </si>
  <si>
    <t>SN202600227001</t>
  </si>
  <si>
    <t>HHM09H-050-V3.0</t>
  </si>
  <si>
    <t>50ml离心管液体全量转移</t>
  </si>
  <si>
    <t>1、拧合盖 OK
2、5-50 能全部转移</t>
  </si>
  <si>
    <t>SN20260209002</t>
  </si>
  <si>
    <t>SN202600227002</t>
  </si>
  <si>
    <t>SN20260209001</t>
  </si>
  <si>
    <t>HHM10B-025-UD</t>
  </si>
  <si>
    <t>25ml注射泵加液系统</t>
  </si>
  <si>
    <t>1、5ml/10ML/15ML/20ML/25ML
   精度 ±0.7%  标准 ±1%
2、时效  44S
3、密封  OK
4、在活塞和顶部有气泡附着
5、注射泵切换方向时有异响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</si>
</sst>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m&quot;月&quot;d&quot;日&quot;;@"/>
  </numFmts>
  <fonts count="47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  <scheme val="minor"/>
    </font>
    <font>
      <sz val="16"/>
      <name val="宋体"/>
      <charset val="134"/>
      <scheme val="minor"/>
    </font>
    <font>
      <sz val="18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Eras Demi ITC"/>
      <charset val="134"/>
    </font>
    <font>
      <b/>
      <sz val="11"/>
      <color rgb="FF000000"/>
      <name val="宋体"/>
      <charset val="134"/>
      <scheme val="minor"/>
    </font>
    <font>
      <sz val="11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sz val="11"/>
      <color rgb="FFC00000"/>
      <name val="宋体"/>
      <charset val="134"/>
      <scheme val="minor"/>
    </font>
    <font>
      <strike/>
      <sz val="11"/>
      <color rgb="FF000000"/>
      <name val="宋体"/>
      <charset val="134"/>
      <scheme val="minor"/>
    </font>
    <font>
      <sz val="11"/>
      <color rgb="FFDE3C3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4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b/>
      <sz val="9"/>
      <name val="宋体"/>
      <charset val="134"/>
    </font>
  </fonts>
  <fills count="52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CE6D5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22" borderId="2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23" borderId="24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4" fillId="24" borderId="24" applyNumberFormat="0" applyAlignment="0" applyProtection="0">
      <alignment vertical="center"/>
    </xf>
    <xf numFmtId="0" fontId="35" fillId="25" borderId="26" applyNumberFormat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</cellStyleXfs>
  <cellXfs count="3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14" fontId="3" fillId="0" borderId="3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4" fontId="5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 wrapText="1"/>
    </xf>
    <xf numFmtId="14" fontId="0" fillId="0" borderId="2" xfId="0" applyNumberFormat="1" applyBorder="1" applyAlignment="1">
      <alignment vertical="center"/>
    </xf>
    <xf numFmtId="0" fontId="0" fillId="0" borderId="7" xfId="0" applyBorder="1" applyAlignment="1">
      <alignment horizontal="center" vertical="center"/>
    </xf>
    <xf numFmtId="14" fontId="0" fillId="0" borderId="3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14" fontId="2" fillId="0" borderId="2" xfId="0" applyNumberFormat="1" applyFont="1" applyFill="1" applyBorder="1" applyAlignment="1">
      <alignment horizontal="center" vertical="center"/>
    </xf>
    <xf numFmtId="0" fontId="0" fillId="0" borderId="3" xfId="0" applyFont="1" applyBorder="1" applyAlignment="1">
      <alignment horizontal="left" vertical="center" wrapText="1"/>
    </xf>
    <xf numFmtId="14" fontId="4" fillId="0" borderId="2" xfId="0" applyNumberFormat="1" applyFont="1" applyFill="1" applyBorder="1" applyAlignment="1">
      <alignment horizontal="center" vertical="center"/>
    </xf>
    <xf numFmtId="14" fontId="6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14" fontId="7" fillId="3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center" vertical="center"/>
    </xf>
    <xf numFmtId="0" fontId="10" fillId="0" borderId="0" xfId="0" applyFont="1">
      <alignment vertical="center"/>
    </xf>
    <xf numFmtId="0" fontId="0" fillId="0" borderId="2" xfId="0" applyBorder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49" fontId="11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14" fontId="10" fillId="0" borderId="2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14" fontId="10" fillId="0" borderId="3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14" fontId="10" fillId="0" borderId="4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14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14" fontId="10" fillId="0" borderId="2" xfId="0" applyNumberFormat="1" applyFont="1" applyBorder="1" applyAlignment="1">
      <alignment horizontal="center" vertical="center"/>
    </xf>
    <xf numFmtId="0" fontId="10" fillId="0" borderId="2" xfId="0" applyFont="1" applyFill="1" applyBorder="1" applyAlignment="1">
      <alignment horizontal="left" vertical="center"/>
    </xf>
    <xf numFmtId="0" fontId="15" fillId="0" borderId="2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left" vertical="center"/>
    </xf>
    <xf numFmtId="14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0" fillId="7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vertical="center"/>
    </xf>
    <xf numFmtId="0" fontId="10" fillId="6" borderId="2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center"/>
    </xf>
    <xf numFmtId="0" fontId="14" fillId="0" borderId="3" xfId="0" applyFont="1" applyFill="1" applyBorder="1" applyAlignment="1">
      <alignment horizontal="center" vertical="center"/>
    </xf>
    <xf numFmtId="14" fontId="10" fillId="0" borderId="3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left" vertical="center"/>
    </xf>
    <xf numFmtId="0" fontId="16" fillId="0" borderId="2" xfId="0" applyFont="1" applyBorder="1">
      <alignment vertical="center"/>
    </xf>
    <xf numFmtId="0" fontId="10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0" fillId="8" borderId="2" xfId="0" applyFont="1" applyFill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14" fontId="10" fillId="0" borderId="2" xfId="0" applyNumberFormat="1" applyFont="1" applyBorder="1" applyAlignment="1">
      <alignment horizontal="left" vertical="center" wrapText="1"/>
    </xf>
    <xf numFmtId="0" fontId="15" fillId="0" borderId="2" xfId="0" applyFont="1" applyBorder="1">
      <alignment vertical="center"/>
    </xf>
    <xf numFmtId="49" fontId="0" fillId="0" borderId="2" xfId="0" applyNumberFormat="1" applyBorder="1" applyAlignment="1">
      <alignment horizontal="center" vertical="center"/>
    </xf>
    <xf numFmtId="0" fontId="10" fillId="0" borderId="2" xfId="0" applyFont="1" applyBorder="1">
      <alignment vertical="center"/>
    </xf>
    <xf numFmtId="49" fontId="11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0" fontId="5" fillId="6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2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4" fontId="0" fillId="0" borderId="3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49" fontId="19" fillId="12" borderId="11" xfId="0" applyNumberFormat="1" applyFont="1" applyFill="1" applyBorder="1" applyAlignment="1">
      <alignment horizontal="center" vertical="center" wrapText="1"/>
    </xf>
    <xf numFmtId="49" fontId="19" fillId="12" borderId="12" xfId="0" applyNumberFormat="1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13" borderId="12" xfId="0" applyFont="1" applyFill="1" applyBorder="1" applyAlignment="1">
      <alignment horizontal="left" vertical="center"/>
    </xf>
    <xf numFmtId="0" fontId="20" fillId="13" borderId="12" xfId="0" applyFont="1" applyFill="1" applyBorder="1" applyAlignment="1">
      <alignment horizontal="center" vertical="center" wrapText="1"/>
    </xf>
    <xf numFmtId="0" fontId="20" fillId="13" borderId="12" xfId="0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center" vertical="center"/>
    </xf>
    <xf numFmtId="0" fontId="20" fillId="14" borderId="12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49" fontId="20" fillId="0" borderId="11" xfId="0" applyNumberFormat="1" applyFont="1" applyBorder="1" applyAlignment="1">
      <alignment horizontal="center" vertical="center" wrapText="1"/>
    </xf>
    <xf numFmtId="49" fontId="20" fillId="0" borderId="11" xfId="0" applyNumberFormat="1" applyFont="1" applyBorder="1" applyAlignment="1">
      <alignment horizontal="left" vertical="center" wrapText="1"/>
    </xf>
    <xf numFmtId="0" fontId="20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 wrapText="1"/>
    </xf>
    <xf numFmtId="0" fontId="20" fillId="0" borderId="11" xfId="0" applyFont="1" applyBorder="1">
      <alignment vertical="center"/>
    </xf>
    <xf numFmtId="0" fontId="20" fillId="15" borderId="11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 wrapText="1"/>
    </xf>
    <xf numFmtId="0" fontId="20" fillId="0" borderId="12" xfId="0" applyFont="1" applyBorder="1">
      <alignment vertical="center"/>
    </xf>
    <xf numFmtId="0" fontId="20" fillId="16" borderId="12" xfId="0" applyFont="1" applyFill="1" applyBorder="1" applyAlignment="1">
      <alignment horizontal="center" vertical="center"/>
    </xf>
    <xf numFmtId="0" fontId="20" fillId="0" borderId="12" xfId="0" applyFont="1" applyBorder="1" applyAlignment="1">
      <alignment vertical="center" wrapText="1"/>
    </xf>
    <xf numFmtId="14" fontId="20" fillId="0" borderId="12" xfId="0" applyNumberFormat="1" applyFont="1" applyBorder="1" applyAlignment="1">
      <alignment horizontal="center" vertical="center"/>
    </xf>
    <xf numFmtId="0" fontId="20" fillId="17" borderId="12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0" fontId="20" fillId="18" borderId="12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14" fontId="20" fillId="0" borderId="12" xfId="0" applyNumberFormat="1" applyFont="1" applyBorder="1" applyAlignment="1">
      <alignment horizontal="right" vertical="center"/>
    </xf>
    <xf numFmtId="49" fontId="20" fillId="0" borderId="11" xfId="0" applyNumberFormat="1" applyFont="1" applyBorder="1" applyAlignment="1">
      <alignment horizontal="center" vertical="center"/>
    </xf>
    <xf numFmtId="49" fontId="20" fillId="0" borderId="12" xfId="0" applyNumberFormat="1" applyFont="1" applyBorder="1" applyAlignment="1">
      <alignment horizontal="left" vertical="center" wrapText="1"/>
    </xf>
    <xf numFmtId="49" fontId="20" fillId="0" borderId="12" xfId="0" applyNumberFormat="1" applyFont="1" applyBorder="1">
      <alignment vertical="center"/>
    </xf>
    <xf numFmtId="49" fontId="20" fillId="0" borderId="15" xfId="0" applyNumberFormat="1" applyFont="1" applyBorder="1">
      <alignment vertical="center"/>
    </xf>
    <xf numFmtId="0" fontId="20" fillId="0" borderId="16" xfId="0" applyFont="1" applyBorder="1" applyAlignment="1">
      <alignment horizontal="center" vertical="center" wrapText="1"/>
    </xf>
    <xf numFmtId="0" fontId="20" fillId="0" borderId="11" xfId="0" applyFont="1" applyBorder="1" applyAlignment="1">
      <alignment vertical="center" wrapText="1"/>
    </xf>
    <xf numFmtId="49" fontId="20" fillId="0" borderId="12" xfId="0" applyNumberFormat="1" applyFont="1" applyBorder="1" applyAlignment="1">
      <alignment horizontal="center" vertical="center"/>
    </xf>
    <xf numFmtId="49" fontId="20" fillId="0" borderId="13" xfId="0" applyNumberFormat="1" applyFont="1" applyBorder="1" applyAlignment="1">
      <alignment horizontal="left" vertical="center" wrapText="1"/>
    </xf>
    <xf numFmtId="49" fontId="20" fillId="0" borderId="12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center" vertical="center"/>
    </xf>
    <xf numFmtId="14" fontId="20" fillId="10" borderId="12" xfId="0" applyNumberFormat="1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49" fontId="20" fillId="0" borderId="14" xfId="0" applyNumberFormat="1" applyFont="1" applyBorder="1" applyAlignment="1">
      <alignment horizontal="center" vertical="center"/>
    </xf>
    <xf numFmtId="49" fontId="20" fillId="0" borderId="14" xfId="0" applyNumberFormat="1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 wrapText="1"/>
    </xf>
    <xf numFmtId="0" fontId="20" fillId="0" borderId="14" xfId="0" applyFont="1" applyBorder="1">
      <alignment vertical="center"/>
    </xf>
    <xf numFmtId="0" fontId="20" fillId="15" borderId="14" xfId="0" applyFont="1" applyFill="1" applyBorder="1" applyAlignment="1">
      <alignment horizontal="center" vertical="center"/>
    </xf>
    <xf numFmtId="0" fontId="20" fillId="15" borderId="12" xfId="0" applyFont="1" applyFill="1" applyBorder="1" applyAlignment="1">
      <alignment horizontal="center" vertical="center"/>
    </xf>
    <xf numFmtId="49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20" fillId="0" borderId="15" xfId="0" applyFont="1" applyBorder="1" applyAlignment="1">
      <alignment vertical="center" wrapText="1"/>
    </xf>
    <xf numFmtId="176" fontId="20" fillId="0" borderId="12" xfId="0" applyNumberFormat="1" applyFont="1" applyBorder="1" applyAlignment="1">
      <alignment horizontal="center" vertical="center" wrapText="1"/>
    </xf>
    <xf numFmtId="14" fontId="20" fillId="0" borderId="11" xfId="0" applyNumberFormat="1" applyFont="1" applyBorder="1" applyAlignment="1">
      <alignment horizontal="right" vertical="center"/>
    </xf>
    <xf numFmtId="0" fontId="20" fillId="0" borderId="18" xfId="0" applyFont="1" applyBorder="1" applyAlignment="1">
      <alignment horizontal="center" vertical="center"/>
    </xf>
    <xf numFmtId="0" fontId="20" fillId="0" borderId="13" xfId="0" applyFont="1" applyBorder="1" applyAlignment="1">
      <alignment horizontal="left" vertical="center" wrapText="1"/>
    </xf>
    <xf numFmtId="0" fontId="20" fillId="0" borderId="19" xfId="0" applyFont="1" applyBorder="1" applyAlignment="1">
      <alignment horizontal="left" vertical="center" wrapText="1"/>
    </xf>
    <xf numFmtId="177" fontId="20" fillId="0" borderId="12" xfId="0" applyNumberFormat="1" applyFont="1" applyBorder="1" applyAlignment="1">
      <alignment horizontal="center" vertical="center"/>
    </xf>
    <xf numFmtId="0" fontId="20" fillId="8" borderId="12" xfId="0" applyFont="1" applyFill="1" applyBorder="1" applyAlignment="1">
      <alignment horizontal="center" vertical="center"/>
    </xf>
    <xf numFmtId="0" fontId="20" fillId="19" borderId="12" xfId="0" applyFont="1" applyFill="1" applyBorder="1" applyAlignment="1">
      <alignment horizontal="center" vertical="center"/>
    </xf>
    <xf numFmtId="14" fontId="20" fillId="0" borderId="11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left" vertical="center"/>
    </xf>
    <xf numFmtId="49" fontId="20" fillId="0" borderId="20" xfId="0" applyNumberFormat="1" applyFont="1" applyBorder="1" applyAlignment="1">
      <alignment horizontal="left" vertical="center" wrapText="1"/>
    </xf>
    <xf numFmtId="49" fontId="20" fillId="0" borderId="14" xfId="0" applyNumberFormat="1" applyFont="1" applyBorder="1" applyAlignment="1">
      <alignment horizontal="left" vertical="center"/>
    </xf>
    <xf numFmtId="49" fontId="20" fillId="0" borderId="14" xfId="0" applyNumberFormat="1" applyFont="1" applyBorder="1" applyAlignment="1">
      <alignment horizontal="center" vertical="center" wrapText="1"/>
    </xf>
    <xf numFmtId="49" fontId="20" fillId="15" borderId="14" xfId="0" applyNumberFormat="1" applyFont="1" applyFill="1" applyBorder="1" applyAlignment="1">
      <alignment horizontal="center" vertical="center"/>
    </xf>
    <xf numFmtId="49" fontId="20" fillId="0" borderId="12" xfId="0" applyNumberFormat="1" applyFont="1" applyBorder="1" applyAlignment="1">
      <alignment horizontal="center" vertical="center" wrapText="1"/>
    </xf>
    <xf numFmtId="49" fontId="20" fillId="15" borderId="1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0" fillId="20" borderId="15" xfId="0" applyFont="1" applyFill="1" applyBorder="1" applyAlignment="1">
      <alignment horizontal="center" vertical="center"/>
    </xf>
    <xf numFmtId="0" fontId="20" fillId="20" borderId="12" xfId="0" applyFont="1" applyFill="1" applyBorder="1" applyAlignment="1">
      <alignment horizontal="center" vertical="center"/>
    </xf>
    <xf numFmtId="0" fontId="20" fillId="20" borderId="12" xfId="0" applyFont="1" applyFill="1" applyBorder="1">
      <alignment vertical="center"/>
    </xf>
    <xf numFmtId="0" fontId="20" fillId="20" borderId="12" xfId="0" applyFont="1" applyFill="1" applyBorder="1" applyAlignment="1">
      <alignment horizontal="left" vertical="center" wrapText="1"/>
    </xf>
    <xf numFmtId="14" fontId="20" fillId="20" borderId="12" xfId="0" applyNumberFormat="1" applyFont="1" applyFill="1" applyBorder="1" applyAlignment="1">
      <alignment horizontal="center" vertical="center"/>
    </xf>
    <xf numFmtId="0" fontId="20" fillId="20" borderId="13" xfId="0" applyFont="1" applyFill="1" applyBorder="1" applyAlignment="1">
      <alignment horizontal="left" vertical="center" wrapText="1"/>
    </xf>
    <xf numFmtId="0" fontId="20" fillId="20" borderId="13" xfId="0" applyFont="1" applyFill="1" applyBorder="1" applyAlignment="1">
      <alignment horizontal="center" vertical="center"/>
    </xf>
    <xf numFmtId="0" fontId="20" fillId="20" borderId="12" xfId="0" applyFont="1" applyFill="1" applyBorder="1" applyAlignment="1">
      <alignment horizontal="left" vertical="center"/>
    </xf>
    <xf numFmtId="0" fontId="20" fillId="0" borderId="20" xfId="0" applyFont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/>
    </xf>
    <xf numFmtId="14" fontId="20" fillId="0" borderId="18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left" vertical="center" wrapText="1"/>
    </xf>
    <xf numFmtId="0" fontId="20" fillId="0" borderId="16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right" vertical="center"/>
    </xf>
    <xf numFmtId="0" fontId="20" fillId="8" borderId="11" xfId="0" applyFont="1" applyFill="1" applyBorder="1" applyAlignment="1">
      <alignment horizontal="center" vertical="center"/>
    </xf>
    <xf numFmtId="0" fontId="23" fillId="0" borderId="12" xfId="0" applyFont="1" applyBorder="1" applyAlignment="1">
      <alignment horizontal="left" vertical="center"/>
    </xf>
    <xf numFmtId="0" fontId="20" fillId="17" borderId="11" xfId="0" applyFont="1" applyFill="1" applyBorder="1" applyAlignment="1">
      <alignment horizontal="center" vertical="center"/>
    </xf>
    <xf numFmtId="0" fontId="23" fillId="0" borderId="12" xfId="0" applyFont="1" applyBorder="1" applyAlignment="1">
      <alignment horizontal="left" vertical="center" wrapText="1"/>
    </xf>
    <xf numFmtId="14" fontId="20" fillId="0" borderId="12" xfId="0" applyNumberFormat="1" applyFont="1" applyBorder="1">
      <alignment vertical="center"/>
    </xf>
    <xf numFmtId="0" fontId="20" fillId="20" borderId="14" xfId="0" applyFont="1" applyFill="1" applyBorder="1" applyAlignment="1">
      <alignment horizontal="center" vertical="center"/>
    </xf>
    <xf numFmtId="177" fontId="20" fillId="20" borderId="12" xfId="0" applyNumberFormat="1" applyFont="1" applyFill="1" applyBorder="1" applyAlignment="1">
      <alignment horizontal="center" vertical="center"/>
    </xf>
    <xf numFmtId="0" fontId="16" fillId="0" borderId="12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49" fontId="21" fillId="0" borderId="16" xfId="0" applyNumberFormat="1" applyFont="1" applyBorder="1" applyAlignment="1">
      <alignment horizontal="center" vertical="center"/>
    </xf>
    <xf numFmtId="49" fontId="21" fillId="0" borderId="11" xfId="0" applyNumberFormat="1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 wrapText="1"/>
    </xf>
    <xf numFmtId="14" fontId="21" fillId="0" borderId="11" xfId="0" applyNumberFormat="1" applyFont="1" applyBorder="1" applyAlignment="1">
      <alignment horizontal="center" vertical="center"/>
    </xf>
    <xf numFmtId="0" fontId="20" fillId="0" borderId="0" xfId="0" applyFont="1">
      <alignment vertical="center"/>
    </xf>
    <xf numFmtId="14" fontId="20" fillId="0" borderId="15" xfId="0" applyNumberFormat="1" applyFont="1" applyBorder="1" applyAlignment="1">
      <alignment horizontal="center" vertical="center"/>
    </xf>
    <xf numFmtId="0" fontId="20" fillId="16" borderId="12" xfId="0" applyFont="1" applyFill="1" applyBorder="1" applyAlignment="1">
      <alignment horizontal="left" vertical="center"/>
    </xf>
    <xf numFmtId="0" fontId="20" fillId="16" borderId="12" xfId="0" applyFont="1" applyFill="1" applyBorder="1" applyAlignment="1">
      <alignment horizontal="left" vertical="center" wrapText="1"/>
    </xf>
    <xf numFmtId="14" fontId="20" fillId="16" borderId="12" xfId="0" applyNumberFormat="1" applyFont="1" applyFill="1" applyBorder="1" applyAlignment="1">
      <alignment horizontal="center" vertical="center"/>
    </xf>
    <xf numFmtId="0" fontId="20" fillId="21" borderId="12" xfId="0" applyFont="1" applyFill="1" applyBorder="1" applyAlignment="1">
      <alignment horizontal="center" vertical="center"/>
    </xf>
    <xf numFmtId="0" fontId="20" fillId="21" borderId="12" xfId="0" applyFont="1" applyFill="1" applyBorder="1" applyAlignment="1">
      <alignment vertical="center" wrapText="1"/>
    </xf>
    <xf numFmtId="0" fontId="20" fillId="21" borderId="12" xfId="0" applyFont="1" applyFill="1" applyBorder="1" applyAlignment="1">
      <alignment horizontal="left" vertical="center"/>
    </xf>
    <xf numFmtId="0" fontId="20" fillId="21" borderId="12" xfId="0" applyFont="1" applyFill="1" applyBorder="1" applyAlignment="1">
      <alignment horizontal="left" vertical="center" wrapText="1"/>
    </xf>
    <xf numFmtId="0" fontId="20" fillId="21" borderId="11" xfId="0" applyFont="1" applyFill="1" applyBorder="1" applyAlignment="1">
      <alignment horizontal="center" vertical="center"/>
    </xf>
    <xf numFmtId="14" fontId="20" fillId="21" borderId="12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 wrapText="1"/>
    </xf>
    <xf numFmtId="49" fontId="20" fillId="16" borderId="12" xfId="0" applyNumberFormat="1" applyFont="1" applyFill="1" applyBorder="1" applyAlignment="1">
      <alignment horizontal="left" vertical="center"/>
    </xf>
    <xf numFmtId="49" fontId="20" fillId="16" borderId="12" xfId="0" applyNumberFormat="1" applyFont="1" applyFill="1" applyBorder="1" applyAlignment="1">
      <alignment horizontal="left" vertical="center" wrapText="1"/>
    </xf>
    <xf numFmtId="0" fontId="20" fillId="18" borderId="0" xfId="0" applyFont="1" applyFill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0" fontId="20" fillId="21" borderId="12" xfId="0" applyFont="1" applyFill="1" applyBorder="1">
      <alignment vertical="center"/>
    </xf>
    <xf numFmtId="0" fontId="20" fillId="19" borderId="12" xfId="0" applyFont="1" applyFill="1" applyBorder="1" applyAlignment="1">
      <alignment horizontal="left" vertical="center"/>
    </xf>
    <xf numFmtId="0" fontId="20" fillId="19" borderId="12" xfId="0" applyFont="1" applyFill="1" applyBorder="1" applyAlignment="1">
      <alignment horizontal="left" vertical="center" wrapText="1"/>
    </xf>
    <xf numFmtId="14" fontId="20" fillId="19" borderId="1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5"/>
  <sheetViews>
    <sheetView workbookViewId="0">
      <selection activeCell="U3" sqref="U3"/>
    </sheetView>
  </sheetViews>
  <sheetFormatPr defaultColWidth="9.23148148148148" defaultRowHeight="14.4"/>
  <cols>
    <col min="2" max="2" width="24.8425925925926" customWidth="1"/>
    <col min="3" max="3" width="12.7685185185185" customWidth="1"/>
    <col min="4" max="4" width="21.1574074074074" customWidth="1"/>
    <col min="8" max="8" width="10"/>
    <col min="10" max="10" width="35.25" style="194" customWidth="1"/>
    <col min="14" max="14" width="27.7222222222222" customWidth="1"/>
    <col min="15" max="15" width="28.037037037037" customWidth="1"/>
    <col min="16" max="16" width="13.2962962962963" customWidth="1"/>
    <col min="17" max="18" width="15.1574074074074" customWidth="1"/>
    <col min="19" max="19" width="10.3055555555556" customWidth="1"/>
  </cols>
  <sheetData>
    <row r="1" ht="28.8" spans="1:19">
      <c r="A1" s="211" t="s">
        <v>0</v>
      </c>
      <c r="B1" s="211" t="s">
        <v>1</v>
      </c>
      <c r="C1" s="211" t="s">
        <v>2</v>
      </c>
      <c r="D1" s="211" t="s">
        <v>3</v>
      </c>
      <c r="E1" s="211" t="s">
        <v>4</v>
      </c>
      <c r="F1" s="211" t="s">
        <v>5</v>
      </c>
      <c r="G1" s="211" t="s">
        <v>5</v>
      </c>
      <c r="H1" s="211" t="s">
        <v>6</v>
      </c>
      <c r="I1" s="212" t="s">
        <v>7</v>
      </c>
      <c r="J1" s="213" t="s">
        <v>8</v>
      </c>
      <c r="K1" s="214" t="s">
        <v>9</v>
      </c>
      <c r="L1" s="214" t="s">
        <v>10</v>
      </c>
      <c r="M1" s="215" t="s">
        <v>10</v>
      </c>
      <c r="N1" s="216" t="s">
        <v>11</v>
      </c>
      <c r="O1" s="217" t="s">
        <v>12</v>
      </c>
      <c r="P1" s="218" t="s">
        <v>13</v>
      </c>
      <c r="Q1" s="218" t="s">
        <v>14</v>
      </c>
      <c r="R1" s="219" t="s">
        <v>15</v>
      </c>
      <c r="S1" s="220" t="s">
        <v>16</v>
      </c>
    </row>
    <row r="2" spans="1:19">
      <c r="A2" s="221">
        <v>1</v>
      </c>
      <c r="B2" s="221" t="s">
        <v>17</v>
      </c>
      <c r="C2" s="221" t="s">
        <v>18</v>
      </c>
      <c r="D2" s="221" t="s">
        <v>19</v>
      </c>
      <c r="E2" s="221" t="s">
        <v>20</v>
      </c>
      <c r="F2" s="221"/>
      <c r="G2" s="221" t="s">
        <v>21</v>
      </c>
      <c r="H2" s="221">
        <v>10.16</v>
      </c>
      <c r="I2" s="222" t="s">
        <v>22</v>
      </c>
      <c r="J2" s="223" t="s">
        <v>23</v>
      </c>
      <c r="K2" s="224" t="s">
        <v>24</v>
      </c>
      <c r="L2" s="224"/>
      <c r="M2" s="224"/>
      <c r="N2" s="225" t="s">
        <v>25</v>
      </c>
      <c r="O2" s="226" t="s">
        <v>26</v>
      </c>
      <c r="P2" s="224" t="s">
        <v>27</v>
      </c>
      <c r="Q2" s="227"/>
      <c r="R2" s="227"/>
      <c r="S2" s="228" t="s">
        <v>28</v>
      </c>
    </row>
    <row r="3" spans="1:19">
      <c r="A3" s="215">
        <v>42</v>
      </c>
      <c r="B3" s="224"/>
      <c r="C3" s="224"/>
      <c r="D3" s="224" t="s">
        <v>19</v>
      </c>
      <c r="E3" s="224" t="s">
        <v>20</v>
      </c>
      <c r="F3" s="224"/>
      <c r="G3" s="224"/>
      <c r="H3" s="224">
        <v>11.06</v>
      </c>
      <c r="I3" s="224" t="s">
        <v>29</v>
      </c>
      <c r="J3" s="226" t="s">
        <v>30</v>
      </c>
      <c r="K3" s="224" t="s">
        <v>24</v>
      </c>
      <c r="L3" s="224"/>
      <c r="M3" s="215"/>
      <c r="N3" s="229" t="s">
        <v>31</v>
      </c>
      <c r="O3" s="230" t="s">
        <v>32</v>
      </c>
      <c r="P3" s="215" t="s">
        <v>27</v>
      </c>
      <c r="Q3" s="215" t="s">
        <v>33</v>
      </c>
      <c r="R3" s="231"/>
      <c r="S3" s="232" t="s">
        <v>34</v>
      </c>
    </row>
    <row r="4" spans="1:19">
      <c r="A4" s="221">
        <v>32</v>
      </c>
      <c r="B4" s="221"/>
      <c r="C4" s="221"/>
      <c r="D4" s="215" t="s">
        <v>19</v>
      </c>
      <c r="E4" s="215" t="s">
        <v>20</v>
      </c>
      <c r="F4" s="215"/>
      <c r="G4" s="215" t="s">
        <v>21</v>
      </c>
      <c r="H4" s="215">
        <v>10.29</v>
      </c>
      <c r="I4" s="215" t="s">
        <v>35</v>
      </c>
      <c r="J4" s="230" t="s">
        <v>36</v>
      </c>
      <c r="K4" s="215" t="s">
        <v>24</v>
      </c>
      <c r="L4" s="215"/>
      <c r="M4" s="215"/>
      <c r="N4" s="229"/>
      <c r="O4" s="233"/>
      <c r="P4" s="215" t="s">
        <v>27</v>
      </c>
      <c r="Q4" s="231"/>
      <c r="R4" s="231"/>
      <c r="S4" s="215" t="s">
        <v>28</v>
      </c>
    </row>
    <row r="5" spans="1:19">
      <c r="A5" s="215">
        <v>92</v>
      </c>
      <c r="B5" s="215"/>
      <c r="C5" s="215"/>
      <c r="D5" s="215" t="s">
        <v>19</v>
      </c>
      <c r="E5" s="215" t="s">
        <v>20</v>
      </c>
      <c r="F5" s="215"/>
      <c r="G5" s="215"/>
      <c r="H5" s="215">
        <v>11.22</v>
      </c>
      <c r="I5" s="215" t="s">
        <v>22</v>
      </c>
      <c r="J5" s="230" t="s">
        <v>37</v>
      </c>
      <c r="K5" s="215" t="s">
        <v>24</v>
      </c>
      <c r="L5" s="215"/>
      <c r="M5" s="215"/>
      <c r="N5" s="229" t="s">
        <v>38</v>
      </c>
      <c r="O5" s="230" t="s">
        <v>39</v>
      </c>
      <c r="P5" s="215" t="s">
        <v>27</v>
      </c>
      <c r="Q5" s="234">
        <v>45622</v>
      </c>
      <c r="R5" s="234">
        <v>45623</v>
      </c>
      <c r="S5" s="235" t="s">
        <v>28</v>
      </c>
    </row>
    <row r="6" ht="17" customHeight="1" spans="1:19">
      <c r="A6" s="221">
        <v>33</v>
      </c>
      <c r="B6" s="221" t="s">
        <v>40</v>
      </c>
      <c r="C6" s="221" t="s">
        <v>41</v>
      </c>
      <c r="D6" s="236" t="s">
        <v>42</v>
      </c>
      <c r="E6" s="215" t="s">
        <v>43</v>
      </c>
      <c r="F6" s="224"/>
      <c r="G6" s="215" t="s">
        <v>21</v>
      </c>
      <c r="H6" s="215">
        <v>10.29</v>
      </c>
      <c r="I6" s="215" t="s">
        <v>29</v>
      </c>
      <c r="J6" s="230" t="s">
        <v>44</v>
      </c>
      <c r="K6" s="215" t="s">
        <v>24</v>
      </c>
      <c r="L6" s="215"/>
      <c r="M6" s="215"/>
      <c r="N6" s="229" t="s">
        <v>45</v>
      </c>
      <c r="O6" s="230" t="s">
        <v>46</v>
      </c>
      <c r="P6" s="215" t="s">
        <v>27</v>
      </c>
      <c r="Q6" s="231"/>
      <c r="R6" s="231"/>
      <c r="S6" s="237" t="s">
        <v>47</v>
      </c>
    </row>
    <row r="7" spans="1:19">
      <c r="A7" s="221">
        <v>34</v>
      </c>
      <c r="B7" s="221"/>
      <c r="C7" s="221"/>
      <c r="D7" s="236"/>
      <c r="E7" s="215"/>
      <c r="F7" s="238"/>
      <c r="G7" s="215"/>
      <c r="H7" s="215">
        <v>10.29</v>
      </c>
      <c r="I7" s="215" t="s">
        <v>48</v>
      </c>
      <c r="J7" s="230" t="s">
        <v>49</v>
      </c>
      <c r="K7" s="215" t="s">
        <v>24</v>
      </c>
      <c r="L7" s="215"/>
      <c r="M7" s="215"/>
      <c r="N7" s="229" t="s">
        <v>50</v>
      </c>
      <c r="O7" s="230" t="s">
        <v>51</v>
      </c>
      <c r="P7" s="215" t="s">
        <v>27</v>
      </c>
      <c r="Q7" s="239">
        <v>45603</v>
      </c>
      <c r="R7" s="231"/>
      <c r="S7" s="215" t="s">
        <v>47</v>
      </c>
    </row>
    <row r="8" ht="17" customHeight="1" spans="1:19">
      <c r="A8" s="221">
        <v>41</v>
      </c>
      <c r="B8" s="221"/>
      <c r="C8" s="221"/>
      <c r="D8" s="221" t="s">
        <v>52</v>
      </c>
      <c r="E8" s="221" t="s">
        <v>43</v>
      </c>
      <c r="F8" s="221"/>
      <c r="G8" s="230" t="s">
        <v>21</v>
      </c>
      <c r="H8" s="221">
        <v>10.31</v>
      </c>
      <c r="I8" s="240" t="s">
        <v>53</v>
      </c>
      <c r="J8" s="241" t="s">
        <v>54</v>
      </c>
      <c r="K8" s="215" t="s">
        <v>24</v>
      </c>
      <c r="L8" s="215"/>
      <c r="M8" s="242"/>
      <c r="N8" s="242"/>
      <c r="O8" s="242"/>
      <c r="P8" s="215"/>
      <c r="Q8" s="243"/>
      <c r="R8" s="231"/>
      <c r="S8" s="224" t="s">
        <v>53</v>
      </c>
    </row>
    <row r="9" spans="1:19">
      <c r="A9" s="221"/>
      <c r="B9" s="221"/>
      <c r="C9" s="221"/>
      <c r="D9" s="221"/>
      <c r="E9" s="221"/>
      <c r="F9" s="244"/>
      <c r="G9" s="245"/>
      <c r="H9" s="221"/>
      <c r="I9" s="246" t="s">
        <v>35</v>
      </c>
      <c r="J9" s="247" t="s">
        <v>55</v>
      </c>
      <c r="K9" s="246" t="s">
        <v>24</v>
      </c>
      <c r="L9" s="246"/>
      <c r="M9" s="231"/>
      <c r="N9" s="248" t="s">
        <v>56</v>
      </c>
      <c r="O9" s="241" t="s">
        <v>57</v>
      </c>
      <c r="P9" s="215" t="s">
        <v>27</v>
      </c>
      <c r="Q9" s="249"/>
      <c r="R9" s="231"/>
      <c r="S9" s="224" t="s">
        <v>58</v>
      </c>
    </row>
    <row r="10" ht="28.8" spans="1:19">
      <c r="A10" s="215">
        <v>53</v>
      </c>
      <c r="B10" s="224"/>
      <c r="C10" s="224"/>
      <c r="D10" s="224" t="s">
        <v>52</v>
      </c>
      <c r="E10" s="224" t="s">
        <v>43</v>
      </c>
      <c r="F10" s="215"/>
      <c r="G10" s="215"/>
      <c r="H10" s="224">
        <v>11.01</v>
      </c>
      <c r="I10" s="224" t="s">
        <v>22</v>
      </c>
      <c r="J10" s="230" t="s">
        <v>59</v>
      </c>
      <c r="K10" s="215" t="s">
        <v>24</v>
      </c>
      <c r="L10" s="215" t="s">
        <v>24</v>
      </c>
      <c r="M10" s="215"/>
      <c r="N10" s="229" t="s">
        <v>60</v>
      </c>
      <c r="O10" s="230" t="s">
        <v>61</v>
      </c>
      <c r="P10" s="215" t="s">
        <v>27</v>
      </c>
      <c r="Q10" s="250">
        <v>45605</v>
      </c>
      <c r="R10" s="239">
        <v>45614</v>
      </c>
      <c r="S10" s="235" t="s">
        <v>47</v>
      </c>
    </row>
    <row r="11" spans="1:19">
      <c r="A11" s="215">
        <v>87</v>
      </c>
      <c r="B11" s="215"/>
      <c r="C11" s="215"/>
      <c r="D11" s="215" t="s">
        <v>52</v>
      </c>
      <c r="E11" s="215" t="s">
        <v>43</v>
      </c>
      <c r="F11" s="215"/>
      <c r="G11" s="215"/>
      <c r="H11" s="215">
        <v>11.19</v>
      </c>
      <c r="I11" s="215" t="s">
        <v>22</v>
      </c>
      <c r="J11" s="230" t="s">
        <v>62</v>
      </c>
      <c r="K11" s="215" t="s">
        <v>24</v>
      </c>
      <c r="L11" s="215"/>
      <c r="M11" s="215"/>
      <c r="N11" s="229" t="s">
        <v>63</v>
      </c>
      <c r="O11" s="230" t="s">
        <v>64</v>
      </c>
      <c r="P11" s="215" t="s">
        <v>27</v>
      </c>
      <c r="Q11" s="215"/>
      <c r="R11" s="231"/>
      <c r="S11" s="215" t="s">
        <v>58</v>
      </c>
    </row>
    <row r="12" spans="1:19">
      <c r="A12" s="215">
        <v>88</v>
      </c>
      <c r="B12" s="215"/>
      <c r="C12" s="215"/>
      <c r="D12" s="215" t="s">
        <v>52</v>
      </c>
      <c r="E12" s="215" t="s">
        <v>43</v>
      </c>
      <c r="F12" s="215"/>
      <c r="G12" s="215"/>
      <c r="H12" s="215">
        <v>11.19</v>
      </c>
      <c r="I12" s="215" t="s">
        <v>65</v>
      </c>
      <c r="J12" s="230" t="s">
        <v>66</v>
      </c>
      <c r="K12" s="215" t="s">
        <v>24</v>
      </c>
      <c r="L12" s="215"/>
      <c r="M12" s="215"/>
      <c r="N12" s="229" t="s">
        <v>67</v>
      </c>
      <c r="O12" s="230" t="s">
        <v>68</v>
      </c>
      <c r="P12" s="215" t="s">
        <v>27</v>
      </c>
      <c r="Q12" s="215"/>
      <c r="R12" s="231"/>
      <c r="S12" s="235" t="s">
        <v>28</v>
      </c>
    </row>
    <row r="13" ht="17" customHeight="1" spans="1:19">
      <c r="A13" s="221">
        <v>3</v>
      </c>
      <c r="B13" s="244"/>
      <c r="C13" s="244"/>
      <c r="D13" s="251" t="s">
        <v>42</v>
      </c>
      <c r="E13" s="251" t="s">
        <v>43</v>
      </c>
      <c r="F13" s="244"/>
      <c r="G13" s="251" t="s">
        <v>21</v>
      </c>
      <c r="H13" s="251" t="s">
        <v>69</v>
      </c>
      <c r="I13" s="252" t="s">
        <v>35</v>
      </c>
      <c r="J13" s="253" t="s">
        <v>70</v>
      </c>
      <c r="K13" s="238" t="s">
        <v>24</v>
      </c>
      <c r="L13" s="238"/>
      <c r="M13" s="238"/>
      <c r="N13" s="254"/>
      <c r="O13" s="255" t="s">
        <v>71</v>
      </c>
      <c r="P13" s="238" t="s">
        <v>27</v>
      </c>
      <c r="Q13" s="256"/>
      <c r="R13" s="256"/>
      <c r="S13" s="257" t="s">
        <v>28</v>
      </c>
    </row>
    <row r="14" spans="1:19">
      <c r="A14" s="221">
        <v>4</v>
      </c>
      <c r="B14" s="244"/>
      <c r="C14" s="244"/>
      <c r="D14" s="251"/>
      <c r="E14" s="251"/>
      <c r="F14" s="244"/>
      <c r="G14" s="251"/>
      <c r="H14" s="236">
        <v>10.15</v>
      </c>
      <c r="I14" s="215" t="s">
        <v>65</v>
      </c>
      <c r="J14" s="241" t="s">
        <v>72</v>
      </c>
      <c r="K14" s="215" t="s">
        <v>24</v>
      </c>
      <c r="L14" s="215"/>
      <c r="M14" s="215" t="s">
        <v>24</v>
      </c>
      <c r="N14" s="229" t="s">
        <v>73</v>
      </c>
      <c r="O14" s="230" t="s">
        <v>74</v>
      </c>
      <c r="P14" s="215" t="s">
        <v>27</v>
      </c>
      <c r="Q14" s="231"/>
      <c r="R14" s="231"/>
      <c r="S14" s="258" t="s">
        <v>28</v>
      </c>
    </row>
    <row r="15" spans="1:19">
      <c r="A15" s="221">
        <v>5</v>
      </c>
      <c r="B15" s="244"/>
      <c r="C15" s="244"/>
      <c r="D15" s="251"/>
      <c r="E15" s="251"/>
      <c r="F15" s="244"/>
      <c r="G15" s="251"/>
      <c r="H15" s="251"/>
      <c r="I15" s="259" t="s">
        <v>35</v>
      </c>
      <c r="J15" s="241" t="s">
        <v>75</v>
      </c>
      <c r="K15" s="215" t="s">
        <v>24</v>
      </c>
      <c r="L15" s="215"/>
      <c r="M15" s="215"/>
      <c r="N15" s="229"/>
      <c r="O15" s="230" t="s">
        <v>76</v>
      </c>
      <c r="P15" s="215" t="s">
        <v>27</v>
      </c>
      <c r="Q15" s="231"/>
      <c r="R15" s="231"/>
      <c r="S15" s="258" t="s">
        <v>28</v>
      </c>
    </row>
    <row r="16" ht="16.8" customHeight="1" spans="1:19">
      <c r="A16" s="221">
        <v>6</v>
      </c>
      <c r="B16" s="244"/>
      <c r="C16" s="244"/>
      <c r="D16" s="251"/>
      <c r="E16" s="251"/>
      <c r="F16" s="244"/>
      <c r="G16" s="251"/>
      <c r="H16" s="260" t="s">
        <v>43</v>
      </c>
      <c r="I16" s="215" t="s">
        <v>65</v>
      </c>
      <c r="J16" s="247" t="s">
        <v>77</v>
      </c>
      <c r="K16" s="215" t="s">
        <v>24</v>
      </c>
      <c r="L16" s="215"/>
      <c r="M16" s="215"/>
      <c r="N16" s="229"/>
      <c r="O16" s="233"/>
      <c r="P16" s="215"/>
      <c r="Q16" s="231"/>
      <c r="R16" s="231"/>
      <c r="S16" s="235" t="s">
        <v>28</v>
      </c>
    </row>
    <row r="17" spans="1:19">
      <c r="A17" s="221">
        <v>7</v>
      </c>
      <c r="B17" s="244"/>
      <c r="C17" s="244"/>
      <c r="D17" s="251"/>
      <c r="E17" s="251"/>
      <c r="F17" s="244"/>
      <c r="G17" s="251"/>
      <c r="H17" s="260"/>
      <c r="I17" s="246" t="s">
        <v>35</v>
      </c>
      <c r="J17" s="247" t="s">
        <v>78</v>
      </c>
      <c r="K17" s="215" t="s">
        <v>24</v>
      </c>
      <c r="L17" s="215"/>
      <c r="M17" s="215"/>
      <c r="N17" s="229"/>
      <c r="O17" s="230" t="s">
        <v>79</v>
      </c>
      <c r="P17" s="215"/>
      <c r="Q17" s="231"/>
      <c r="R17" s="231"/>
      <c r="S17" s="258" t="s">
        <v>28</v>
      </c>
    </row>
    <row r="18" spans="1:19">
      <c r="A18" s="221">
        <v>8</v>
      </c>
      <c r="B18" s="244"/>
      <c r="C18" s="244"/>
      <c r="D18" s="251"/>
      <c r="E18" s="251"/>
      <c r="F18" s="244"/>
      <c r="G18" s="251"/>
      <c r="H18" s="260"/>
      <c r="I18" s="246" t="s">
        <v>22</v>
      </c>
      <c r="J18" s="247" t="s">
        <v>80</v>
      </c>
      <c r="K18" s="215" t="s">
        <v>24</v>
      </c>
      <c r="L18" s="215"/>
      <c r="M18" s="215"/>
      <c r="N18" s="229" t="s">
        <v>81</v>
      </c>
      <c r="O18" s="230" t="s">
        <v>82</v>
      </c>
      <c r="P18" s="215"/>
      <c r="Q18" s="215"/>
      <c r="R18" s="231"/>
      <c r="S18" s="215" t="s">
        <v>58</v>
      </c>
    </row>
    <row r="19" ht="16.8" customHeight="1" spans="1:19">
      <c r="A19" s="221">
        <v>9</v>
      </c>
      <c r="B19" s="244"/>
      <c r="C19" s="244"/>
      <c r="D19" s="251"/>
      <c r="E19" s="251"/>
      <c r="F19" s="244"/>
      <c r="G19" s="251"/>
      <c r="H19" s="260">
        <v>10.24</v>
      </c>
      <c r="I19" s="215" t="s">
        <v>65</v>
      </c>
      <c r="J19" s="247" t="s">
        <v>83</v>
      </c>
      <c r="K19" s="215" t="s">
        <v>24</v>
      </c>
      <c r="L19" s="215"/>
      <c r="M19" s="215"/>
      <c r="N19" s="229"/>
      <c r="O19" s="233"/>
      <c r="P19" s="215"/>
      <c r="Q19" s="231"/>
      <c r="R19" s="231"/>
      <c r="S19" s="258" t="s">
        <v>28</v>
      </c>
    </row>
    <row r="20" spans="1:19">
      <c r="A20" s="221">
        <v>10</v>
      </c>
      <c r="B20" s="244"/>
      <c r="C20" s="244"/>
      <c r="D20" s="251"/>
      <c r="E20" s="251"/>
      <c r="F20" s="244"/>
      <c r="G20" s="251"/>
      <c r="H20" s="260"/>
      <c r="I20" s="246" t="s">
        <v>65</v>
      </c>
      <c r="J20" s="247" t="s">
        <v>84</v>
      </c>
      <c r="K20" s="215" t="s">
        <v>24</v>
      </c>
      <c r="L20" s="215"/>
      <c r="M20" s="215"/>
      <c r="N20" s="229" t="s">
        <v>85</v>
      </c>
      <c r="O20" s="230" t="s">
        <v>86</v>
      </c>
      <c r="P20" s="215"/>
      <c r="Q20" s="231"/>
      <c r="R20" s="231"/>
      <c r="S20" s="237" t="s">
        <v>28</v>
      </c>
    </row>
    <row r="21" spans="1:19">
      <c r="A21" s="221">
        <v>11</v>
      </c>
      <c r="B21" s="244"/>
      <c r="C21" s="244"/>
      <c r="D21" s="251"/>
      <c r="E21" s="251"/>
      <c r="F21" s="251"/>
      <c r="G21" s="251"/>
      <c r="H21" s="260"/>
      <c r="I21" s="246" t="s">
        <v>65</v>
      </c>
      <c r="J21" s="247" t="s">
        <v>87</v>
      </c>
      <c r="K21" s="215" t="s">
        <v>24</v>
      </c>
      <c r="L21" s="215"/>
      <c r="M21" s="215"/>
      <c r="N21" s="229" t="s">
        <v>88</v>
      </c>
      <c r="O21" s="230" t="s">
        <v>89</v>
      </c>
      <c r="P21" s="215"/>
      <c r="Q21" s="231"/>
      <c r="R21" s="231"/>
      <c r="S21" s="237" t="s">
        <v>28</v>
      </c>
    </row>
    <row r="22" ht="43.2" spans="1:19">
      <c r="A22" s="215">
        <v>127</v>
      </c>
      <c r="B22" s="215"/>
      <c r="C22" s="215"/>
      <c r="D22" s="215" t="s">
        <v>52</v>
      </c>
      <c r="E22" s="215" t="s">
        <v>43</v>
      </c>
      <c r="F22" s="215"/>
      <c r="G22" s="215"/>
      <c r="H22" s="215">
        <v>12.4</v>
      </c>
      <c r="I22" s="215" t="s">
        <v>22</v>
      </c>
      <c r="J22" s="230" t="s">
        <v>90</v>
      </c>
      <c r="K22" s="215" t="s">
        <v>24</v>
      </c>
      <c r="L22" s="215"/>
      <c r="M22" s="215"/>
      <c r="N22" s="229"/>
      <c r="O22" s="261"/>
      <c r="P22" s="215" t="s">
        <v>27</v>
      </c>
      <c r="Q22" s="215"/>
      <c r="R22" s="231"/>
      <c r="S22" s="215" t="s">
        <v>58</v>
      </c>
    </row>
    <row r="23" spans="1:19">
      <c r="A23" s="221"/>
      <c r="B23" s="221"/>
      <c r="C23" s="221"/>
      <c r="D23" s="221"/>
      <c r="E23" s="221"/>
      <c r="F23" s="244"/>
      <c r="G23" s="245"/>
      <c r="H23" s="221"/>
      <c r="I23" s="246"/>
      <c r="J23" s="247"/>
      <c r="K23" s="246"/>
      <c r="L23" s="246"/>
      <c r="M23" s="231"/>
      <c r="N23" s="248"/>
      <c r="O23" s="241"/>
      <c r="P23" s="215"/>
      <c r="Q23" s="249"/>
      <c r="R23" s="231"/>
      <c r="S23" s="224"/>
    </row>
    <row r="24" spans="1:19">
      <c r="A24" s="221">
        <v>2</v>
      </c>
      <c r="B24" s="221" t="s">
        <v>91</v>
      </c>
      <c r="C24" s="221"/>
      <c r="D24" s="236" t="s">
        <v>92</v>
      </c>
      <c r="E24" s="236" t="s">
        <v>93</v>
      </c>
      <c r="F24" s="236"/>
      <c r="G24" s="236" t="s">
        <v>21</v>
      </c>
      <c r="H24" s="236">
        <v>10.16</v>
      </c>
      <c r="I24" s="246" t="s">
        <v>22</v>
      </c>
      <c r="J24" s="241" t="s">
        <v>94</v>
      </c>
      <c r="K24" s="215" t="s">
        <v>24</v>
      </c>
      <c r="L24" s="215"/>
      <c r="M24" s="215"/>
      <c r="N24" s="229" t="s">
        <v>95</v>
      </c>
      <c r="O24" s="230" t="s">
        <v>96</v>
      </c>
      <c r="P24" s="215" t="s">
        <v>27</v>
      </c>
      <c r="Q24" s="231"/>
      <c r="R24" s="231"/>
      <c r="S24" s="258" t="s">
        <v>28</v>
      </c>
    </row>
    <row r="25" ht="28.8" spans="1:19">
      <c r="A25" s="221">
        <v>39</v>
      </c>
      <c r="B25" s="221"/>
      <c r="C25" s="221"/>
      <c r="D25" s="236" t="s">
        <v>97</v>
      </c>
      <c r="E25" s="236" t="s">
        <v>93</v>
      </c>
      <c r="F25" s="236"/>
      <c r="G25" s="236" t="s">
        <v>98</v>
      </c>
      <c r="H25" s="262">
        <v>10.3</v>
      </c>
      <c r="I25" s="246" t="s">
        <v>35</v>
      </c>
      <c r="J25" s="241" t="s">
        <v>99</v>
      </c>
      <c r="K25" s="246" t="s">
        <v>24</v>
      </c>
      <c r="L25" s="246"/>
      <c r="M25" s="215"/>
      <c r="N25" s="248" t="s">
        <v>100</v>
      </c>
      <c r="O25" s="241" t="s">
        <v>101</v>
      </c>
      <c r="P25" s="215" t="s">
        <v>27</v>
      </c>
      <c r="Q25" s="239">
        <v>45602</v>
      </c>
      <c r="R25" s="263">
        <v>45604</v>
      </c>
      <c r="S25" s="235" t="s">
        <v>28</v>
      </c>
    </row>
    <row r="26" ht="16.8" customHeight="1" spans="1:19">
      <c r="A26" s="215">
        <v>54</v>
      </c>
      <c r="B26" s="224"/>
      <c r="C26" s="224" t="s">
        <v>102</v>
      </c>
      <c r="D26" s="224" t="s">
        <v>103</v>
      </c>
      <c r="E26" s="224" t="s">
        <v>93</v>
      </c>
      <c r="F26" s="215"/>
      <c r="G26" s="215"/>
      <c r="H26" s="264">
        <v>11.08</v>
      </c>
      <c r="I26" s="215" t="s">
        <v>35</v>
      </c>
      <c r="J26" s="265" t="s">
        <v>104</v>
      </c>
      <c r="K26" s="215" t="s">
        <v>24</v>
      </c>
      <c r="L26" s="215"/>
      <c r="M26" s="215"/>
      <c r="N26" s="229"/>
      <c r="O26" s="233"/>
      <c r="P26" s="215"/>
      <c r="Q26" s="231"/>
      <c r="R26" s="231"/>
      <c r="S26" s="235" t="s">
        <v>28</v>
      </c>
    </row>
    <row r="27" spans="1:19">
      <c r="A27" s="215">
        <v>55</v>
      </c>
      <c r="B27" s="224"/>
      <c r="C27" s="224"/>
      <c r="D27" s="224"/>
      <c r="E27" s="224"/>
      <c r="F27" s="224"/>
      <c r="G27" s="224"/>
      <c r="H27" s="264"/>
      <c r="I27" s="215" t="s">
        <v>29</v>
      </c>
      <c r="J27" s="266" t="s">
        <v>105</v>
      </c>
      <c r="K27" s="224" t="s">
        <v>24</v>
      </c>
      <c r="L27" s="215"/>
      <c r="M27" s="215"/>
      <c r="N27" s="229"/>
      <c r="O27" s="233"/>
      <c r="P27" s="215"/>
      <c r="Q27" s="231"/>
      <c r="R27" s="231"/>
      <c r="S27" s="235" t="s">
        <v>28</v>
      </c>
    </row>
    <row r="28" ht="43.2" spans="1:19">
      <c r="A28" s="215">
        <v>73</v>
      </c>
      <c r="B28" s="215"/>
      <c r="C28" s="215"/>
      <c r="D28" s="215" t="s">
        <v>97</v>
      </c>
      <c r="E28" s="215" t="s">
        <v>93</v>
      </c>
      <c r="F28" s="215"/>
      <c r="G28" s="215"/>
      <c r="H28" s="215">
        <v>11.13</v>
      </c>
      <c r="I28" s="215" t="s">
        <v>22</v>
      </c>
      <c r="J28" s="230" t="s">
        <v>106</v>
      </c>
      <c r="K28" s="215" t="s">
        <v>24</v>
      </c>
      <c r="L28" s="215"/>
      <c r="M28" s="215"/>
      <c r="N28" s="229" t="s">
        <v>107</v>
      </c>
      <c r="O28" s="230" t="s">
        <v>108</v>
      </c>
      <c r="P28" s="215" t="s">
        <v>27</v>
      </c>
      <c r="Q28" s="234">
        <v>45617</v>
      </c>
      <c r="R28" s="267">
        <v>45629</v>
      </c>
      <c r="S28" s="268" t="s">
        <v>28</v>
      </c>
    </row>
    <row r="29" ht="28.8" spans="1:19">
      <c r="A29" s="215">
        <v>80</v>
      </c>
      <c r="B29" s="215"/>
      <c r="C29" s="215"/>
      <c r="D29" s="215" t="s">
        <v>97</v>
      </c>
      <c r="E29" s="215" t="s">
        <v>93</v>
      </c>
      <c r="F29" s="215"/>
      <c r="G29" s="215"/>
      <c r="H29" s="215">
        <v>11.15</v>
      </c>
      <c r="I29" s="215" t="s">
        <v>29</v>
      </c>
      <c r="J29" s="230" t="s">
        <v>109</v>
      </c>
      <c r="K29" s="215" t="s">
        <v>24</v>
      </c>
      <c r="L29" s="215"/>
      <c r="M29" s="215"/>
      <c r="N29" s="229" t="s">
        <v>110</v>
      </c>
      <c r="O29" s="230" t="s">
        <v>111</v>
      </c>
      <c r="P29" s="269" t="s">
        <v>27</v>
      </c>
      <c r="Q29" s="234">
        <v>45619</v>
      </c>
      <c r="R29" s="239">
        <v>45621</v>
      </c>
      <c r="S29" s="235" t="s">
        <v>28</v>
      </c>
    </row>
    <row r="30" spans="1:19">
      <c r="A30" s="215">
        <v>78</v>
      </c>
      <c r="B30" s="215"/>
      <c r="C30" s="215" t="s">
        <v>112</v>
      </c>
      <c r="D30" s="215" t="s">
        <v>113</v>
      </c>
      <c r="E30" s="215" t="s">
        <v>93</v>
      </c>
      <c r="F30" s="215"/>
      <c r="G30" s="215"/>
      <c r="H30" s="215">
        <v>11.14</v>
      </c>
      <c r="I30" s="215" t="s">
        <v>29</v>
      </c>
      <c r="J30" s="230" t="s">
        <v>114</v>
      </c>
      <c r="K30" s="215" t="s">
        <v>24</v>
      </c>
      <c r="L30" s="215"/>
      <c r="M30" s="215"/>
      <c r="N30" s="229" t="s">
        <v>110</v>
      </c>
      <c r="O30" s="230" t="s">
        <v>111</v>
      </c>
      <c r="P30" s="215" t="s">
        <v>27</v>
      </c>
      <c r="Q30" s="234">
        <v>45619</v>
      </c>
      <c r="R30" s="234">
        <v>45621</v>
      </c>
      <c r="S30" s="235" t="s">
        <v>28</v>
      </c>
    </row>
    <row r="31" spans="1:19">
      <c r="A31" s="224">
        <v>109</v>
      </c>
      <c r="B31" s="224"/>
      <c r="C31" s="224"/>
      <c r="D31" s="224" t="s">
        <v>97</v>
      </c>
      <c r="E31" s="224" t="s">
        <v>93</v>
      </c>
      <c r="F31" s="224"/>
      <c r="G31" s="224"/>
      <c r="H31" s="224">
        <v>11.28</v>
      </c>
      <c r="I31" s="224" t="s">
        <v>22</v>
      </c>
      <c r="J31" s="226" t="s">
        <v>115</v>
      </c>
      <c r="K31" s="224" t="s">
        <v>24</v>
      </c>
      <c r="L31" s="224"/>
      <c r="M31" s="224"/>
      <c r="N31" s="225" t="s">
        <v>116</v>
      </c>
      <c r="O31" s="226" t="s">
        <v>117</v>
      </c>
      <c r="P31" s="264" t="s">
        <v>27</v>
      </c>
      <c r="Q31" s="270">
        <v>45628</v>
      </c>
      <c r="R31" s="227"/>
      <c r="S31" s="224" t="s">
        <v>58</v>
      </c>
    </row>
    <row r="32" spans="1:19">
      <c r="A32" s="224">
        <v>119</v>
      </c>
      <c r="B32" s="224"/>
      <c r="C32" s="224"/>
      <c r="D32" s="224" t="s">
        <v>97</v>
      </c>
      <c r="E32" s="224" t="s">
        <v>93</v>
      </c>
      <c r="F32" s="224"/>
      <c r="G32" s="224"/>
      <c r="H32" s="224">
        <v>12.3</v>
      </c>
      <c r="I32" s="224" t="s">
        <v>22</v>
      </c>
      <c r="J32" s="226" t="s">
        <v>118</v>
      </c>
      <c r="K32" s="224" t="s">
        <v>24</v>
      </c>
      <c r="L32" s="224"/>
      <c r="M32" s="224"/>
      <c r="N32" s="271"/>
      <c r="O32" s="245"/>
      <c r="P32" s="215" t="s">
        <v>27</v>
      </c>
      <c r="Q32" s="224"/>
      <c r="R32" s="227"/>
      <c r="S32" s="215" t="s">
        <v>58</v>
      </c>
    </row>
    <row r="33" ht="28.8" spans="1:19">
      <c r="A33" s="215">
        <v>121</v>
      </c>
      <c r="B33" s="215"/>
      <c r="C33" s="215"/>
      <c r="D33" s="215" t="s">
        <v>119</v>
      </c>
      <c r="E33" s="215" t="s">
        <v>93</v>
      </c>
      <c r="F33" s="215"/>
      <c r="G33" s="215"/>
      <c r="H33" s="215">
        <v>12.3</v>
      </c>
      <c r="I33" s="215" t="s">
        <v>35</v>
      </c>
      <c r="J33" s="230" t="s">
        <v>120</v>
      </c>
      <c r="K33" s="215" t="s">
        <v>24</v>
      </c>
      <c r="L33" s="215"/>
      <c r="M33" s="215"/>
      <c r="N33" s="229"/>
      <c r="O33" s="261"/>
      <c r="P33" s="215" t="s">
        <v>27</v>
      </c>
      <c r="Q33" s="215"/>
      <c r="R33" s="231"/>
      <c r="S33" s="215" t="s">
        <v>58</v>
      </c>
    </row>
    <row r="34" ht="17" customHeight="1" spans="1:19">
      <c r="A34" s="221">
        <v>12</v>
      </c>
      <c r="B34" s="244" t="s">
        <v>121</v>
      </c>
      <c r="C34" s="244" t="s">
        <v>122</v>
      </c>
      <c r="D34" s="251" t="s">
        <v>123</v>
      </c>
      <c r="E34" s="251" t="s">
        <v>124</v>
      </c>
      <c r="F34" s="244"/>
      <c r="G34" s="251" t="s">
        <v>98</v>
      </c>
      <c r="H34" s="260" t="s">
        <v>69</v>
      </c>
      <c r="I34" s="246" t="s">
        <v>35</v>
      </c>
      <c r="J34" s="272" t="s">
        <v>125</v>
      </c>
      <c r="K34" s="252" t="s">
        <v>24</v>
      </c>
      <c r="L34" s="252"/>
      <c r="M34" s="252"/>
      <c r="N34" s="273" t="s">
        <v>126</v>
      </c>
      <c r="O34" s="274" t="s">
        <v>127</v>
      </c>
      <c r="P34" s="238" t="s">
        <v>27</v>
      </c>
      <c r="Q34" s="256"/>
      <c r="R34" s="256"/>
      <c r="S34" s="275" t="s">
        <v>28</v>
      </c>
    </row>
    <row r="35" ht="17" customHeight="1" spans="1:19">
      <c r="A35" s="221">
        <v>13</v>
      </c>
      <c r="B35" s="244"/>
      <c r="C35" s="244"/>
      <c r="D35" s="251"/>
      <c r="E35" s="251"/>
      <c r="F35" s="244"/>
      <c r="G35" s="251"/>
      <c r="H35" s="260"/>
      <c r="I35" s="246" t="s">
        <v>22</v>
      </c>
      <c r="J35" s="247" t="s">
        <v>128</v>
      </c>
      <c r="K35" s="246" t="s">
        <v>24</v>
      </c>
      <c r="L35" s="246"/>
      <c r="M35" s="246"/>
      <c r="N35" s="248" t="s">
        <v>129</v>
      </c>
      <c r="O35" s="276" t="s">
        <v>130</v>
      </c>
      <c r="P35" s="215" t="s">
        <v>27</v>
      </c>
      <c r="Q35" s="256"/>
      <c r="R35" s="256"/>
      <c r="S35" s="275" t="s">
        <v>28</v>
      </c>
    </row>
    <row r="36" ht="28.8" spans="1:19">
      <c r="A36" s="221">
        <v>14</v>
      </c>
      <c r="B36" s="244"/>
      <c r="C36" s="244"/>
      <c r="D36" s="251"/>
      <c r="E36" s="251"/>
      <c r="F36" s="244"/>
      <c r="G36" s="251"/>
      <c r="H36" s="260"/>
      <c r="I36" s="246" t="s">
        <v>22</v>
      </c>
      <c r="J36" s="247"/>
      <c r="K36" s="246" t="s">
        <v>24</v>
      </c>
      <c r="L36" s="246"/>
      <c r="M36" s="246"/>
      <c r="N36" s="248" t="s">
        <v>131</v>
      </c>
      <c r="O36" s="276" t="s">
        <v>132</v>
      </c>
      <c r="P36" s="215" t="s">
        <v>27</v>
      </c>
      <c r="Q36" s="256"/>
      <c r="R36" s="256"/>
      <c r="S36" s="275" t="s">
        <v>28</v>
      </c>
    </row>
    <row r="37" ht="28.8" spans="1:19">
      <c r="A37" s="221">
        <v>15</v>
      </c>
      <c r="B37" s="244"/>
      <c r="C37" s="244"/>
      <c r="D37" s="251"/>
      <c r="E37" s="251"/>
      <c r="F37" s="244"/>
      <c r="G37" s="251"/>
      <c r="H37" s="260"/>
      <c r="I37" s="246" t="s">
        <v>29</v>
      </c>
      <c r="J37" s="247" t="s">
        <v>133</v>
      </c>
      <c r="K37" s="246" t="s">
        <v>24</v>
      </c>
      <c r="L37" s="246"/>
      <c r="M37" s="246"/>
      <c r="N37" s="248" t="s">
        <v>134</v>
      </c>
      <c r="O37" s="276" t="s">
        <v>135</v>
      </c>
      <c r="P37" s="215" t="s">
        <v>27</v>
      </c>
      <c r="Q37" s="256"/>
      <c r="R37" s="256"/>
      <c r="S37" s="275" t="s">
        <v>28</v>
      </c>
    </row>
    <row r="38" spans="1:19">
      <c r="A38" s="221">
        <v>16</v>
      </c>
      <c r="B38" s="244"/>
      <c r="C38" s="244"/>
      <c r="D38" s="251"/>
      <c r="E38" s="251"/>
      <c r="F38" s="244"/>
      <c r="G38" s="251"/>
      <c r="H38" s="260"/>
      <c r="I38" s="246" t="s">
        <v>22</v>
      </c>
      <c r="J38" s="247" t="s">
        <v>136</v>
      </c>
      <c r="K38" s="246" t="s">
        <v>24</v>
      </c>
      <c r="L38" s="246"/>
      <c r="M38" s="246"/>
      <c r="N38" s="248" t="s">
        <v>137</v>
      </c>
      <c r="O38" s="276" t="s">
        <v>138</v>
      </c>
      <c r="P38" s="215" t="s">
        <v>27</v>
      </c>
      <c r="Q38" s="256"/>
      <c r="R38" s="256"/>
      <c r="S38" s="275" t="s">
        <v>28</v>
      </c>
    </row>
    <row r="39" spans="1:19">
      <c r="A39" s="221">
        <v>17</v>
      </c>
      <c r="B39" s="244"/>
      <c r="C39" s="244"/>
      <c r="D39" s="251"/>
      <c r="E39" s="251"/>
      <c r="F39" s="244"/>
      <c r="G39" s="251"/>
      <c r="H39" s="260"/>
      <c r="I39" s="246" t="s">
        <v>35</v>
      </c>
      <c r="J39" s="247" t="s">
        <v>139</v>
      </c>
      <c r="K39" s="246" t="s">
        <v>24</v>
      </c>
      <c r="L39" s="246"/>
      <c r="M39" s="246"/>
      <c r="N39" s="248"/>
      <c r="O39" s="276" t="s">
        <v>140</v>
      </c>
      <c r="P39" s="215" t="s">
        <v>27</v>
      </c>
      <c r="Q39" s="256"/>
      <c r="R39" s="256"/>
      <c r="S39" s="275" t="s">
        <v>28</v>
      </c>
    </row>
    <row r="40" ht="28.8" spans="1:19">
      <c r="A40" s="221">
        <v>18</v>
      </c>
      <c r="B40" s="244"/>
      <c r="C40" s="244"/>
      <c r="D40" s="251"/>
      <c r="E40" s="251"/>
      <c r="F40" s="244"/>
      <c r="G40" s="251"/>
      <c r="H40" s="260"/>
      <c r="I40" s="246" t="s">
        <v>22</v>
      </c>
      <c r="J40" s="247" t="s">
        <v>141</v>
      </c>
      <c r="K40" s="246" t="s">
        <v>24</v>
      </c>
      <c r="L40" s="246"/>
      <c r="M40" s="246"/>
      <c r="N40" s="248"/>
      <c r="O40" s="276" t="s">
        <v>142</v>
      </c>
      <c r="P40" s="215" t="s">
        <v>27</v>
      </c>
      <c r="Q40" s="256"/>
      <c r="R40" s="256"/>
      <c r="S40" s="275" t="s">
        <v>28</v>
      </c>
    </row>
    <row r="41" spans="1:19">
      <c r="A41" s="221">
        <v>19</v>
      </c>
      <c r="B41" s="244"/>
      <c r="C41" s="244"/>
      <c r="D41" s="251"/>
      <c r="E41" s="251"/>
      <c r="F41" s="244"/>
      <c r="G41" s="251"/>
      <c r="H41" s="260"/>
      <c r="I41" s="259" t="s">
        <v>35</v>
      </c>
      <c r="J41" s="241" t="s">
        <v>143</v>
      </c>
      <c r="K41" s="246" t="s">
        <v>24</v>
      </c>
      <c r="L41" s="246"/>
      <c r="M41" s="246"/>
      <c r="N41" s="248" t="s">
        <v>144</v>
      </c>
      <c r="O41" s="276" t="s">
        <v>145</v>
      </c>
      <c r="P41" s="215" t="s">
        <v>27</v>
      </c>
      <c r="Q41" s="256"/>
      <c r="R41" s="256"/>
      <c r="S41" s="275" t="s">
        <v>28</v>
      </c>
    </row>
    <row r="42" ht="43.2" spans="1:19">
      <c r="A42" s="221">
        <v>20</v>
      </c>
      <c r="B42" s="244"/>
      <c r="C42" s="244"/>
      <c r="D42" s="251"/>
      <c r="E42" s="251"/>
      <c r="F42" s="236"/>
      <c r="G42" s="251"/>
      <c r="H42" s="260"/>
      <c r="I42" s="246" t="s">
        <v>22</v>
      </c>
      <c r="J42" s="247" t="s">
        <v>146</v>
      </c>
      <c r="K42" s="246" t="s">
        <v>24</v>
      </c>
      <c r="L42" s="246"/>
      <c r="M42" s="246"/>
      <c r="N42" s="241" t="s">
        <v>147</v>
      </c>
      <c r="O42" s="276"/>
      <c r="P42" s="215" t="s">
        <v>148</v>
      </c>
      <c r="Q42" s="215"/>
      <c r="R42" s="231"/>
      <c r="S42" s="215" t="s">
        <v>58</v>
      </c>
    </row>
    <row r="43" spans="1:19">
      <c r="A43" s="221">
        <v>22</v>
      </c>
      <c r="B43" s="244"/>
      <c r="C43" s="244"/>
      <c r="D43" s="251"/>
      <c r="E43" s="251"/>
      <c r="F43" s="251"/>
      <c r="G43" s="251"/>
      <c r="H43" s="251">
        <v>10.24</v>
      </c>
      <c r="I43" s="274" t="s">
        <v>65</v>
      </c>
      <c r="J43" s="241" t="s">
        <v>149</v>
      </c>
      <c r="K43" s="215"/>
      <c r="L43" s="215"/>
      <c r="M43" s="215"/>
      <c r="N43" s="229"/>
      <c r="O43" s="230" t="s">
        <v>150</v>
      </c>
      <c r="P43" s="215"/>
      <c r="Q43" s="231"/>
      <c r="R43" s="231"/>
      <c r="S43" s="277" t="s">
        <v>28</v>
      </c>
    </row>
    <row r="44" ht="28.8" spans="1:19">
      <c r="A44" s="249">
        <v>43</v>
      </c>
      <c r="B44" s="249"/>
      <c r="C44" s="249"/>
      <c r="D44" s="215" t="s">
        <v>151</v>
      </c>
      <c r="E44" s="215" t="s">
        <v>124</v>
      </c>
      <c r="F44" s="215"/>
      <c r="G44" s="215"/>
      <c r="H44" s="215">
        <v>11.07</v>
      </c>
      <c r="I44" s="215" t="s">
        <v>65</v>
      </c>
      <c r="J44" s="230" t="s">
        <v>152</v>
      </c>
      <c r="K44" s="215" t="s">
        <v>24</v>
      </c>
      <c r="L44" s="215"/>
      <c r="M44" s="214"/>
      <c r="N44" s="229"/>
      <c r="O44" s="230" t="s">
        <v>153</v>
      </c>
      <c r="P44" s="215" t="s">
        <v>27</v>
      </c>
      <c r="Q44" s="278"/>
      <c r="R44" s="239">
        <v>45604</v>
      </c>
      <c r="S44" s="235" t="s">
        <v>28</v>
      </c>
    </row>
    <row r="45" ht="43.2" spans="1:19">
      <c r="A45" s="221">
        <v>31</v>
      </c>
      <c r="B45" s="221"/>
      <c r="C45" s="221"/>
      <c r="D45" s="215" t="s">
        <v>123</v>
      </c>
      <c r="E45" s="215" t="s">
        <v>124</v>
      </c>
      <c r="F45" s="215"/>
      <c r="G45" s="215" t="s">
        <v>98</v>
      </c>
      <c r="H45" s="215">
        <v>10.29</v>
      </c>
      <c r="I45" s="215" t="s">
        <v>35</v>
      </c>
      <c r="J45" s="230" t="s">
        <v>154</v>
      </c>
      <c r="K45" s="215" t="s">
        <v>24</v>
      </c>
      <c r="L45" s="215"/>
      <c r="M45" s="215"/>
      <c r="N45" s="229" t="s">
        <v>155</v>
      </c>
      <c r="O45" s="230" t="s">
        <v>156</v>
      </c>
      <c r="P45" s="215" t="s">
        <v>27</v>
      </c>
      <c r="Q45" s="239">
        <v>45597</v>
      </c>
      <c r="R45" s="239">
        <v>45605</v>
      </c>
      <c r="S45" s="235" t="s">
        <v>28</v>
      </c>
    </row>
    <row r="46" ht="51" customHeight="1" spans="1:19">
      <c r="A46" s="221">
        <v>42</v>
      </c>
      <c r="B46" s="221"/>
      <c r="C46" s="221"/>
      <c r="D46" s="236" t="s">
        <v>157</v>
      </c>
      <c r="E46" s="236" t="s">
        <v>124</v>
      </c>
      <c r="F46" s="221"/>
      <c r="G46" s="230" t="s">
        <v>98</v>
      </c>
      <c r="H46" s="236">
        <v>10.31</v>
      </c>
      <c r="I46" s="259" t="s">
        <v>35</v>
      </c>
      <c r="J46" s="241" t="s">
        <v>158</v>
      </c>
      <c r="K46" s="246" t="s">
        <v>24</v>
      </c>
      <c r="L46" s="246"/>
      <c r="M46" s="231"/>
      <c r="N46" s="248" t="s">
        <v>159</v>
      </c>
      <c r="O46" s="241" t="s">
        <v>160</v>
      </c>
      <c r="P46" s="279" t="s">
        <v>27</v>
      </c>
      <c r="Q46" s="239">
        <v>45597</v>
      </c>
      <c r="R46" s="231"/>
      <c r="S46" s="237" t="s">
        <v>161</v>
      </c>
    </row>
    <row r="47" ht="28.8" spans="1:19">
      <c r="A47" s="221">
        <v>43</v>
      </c>
      <c r="B47" s="221"/>
      <c r="C47" s="221"/>
      <c r="D47" s="236"/>
      <c r="E47" s="236"/>
      <c r="F47" s="251"/>
      <c r="G47" s="230"/>
      <c r="H47" s="236"/>
      <c r="I47" s="252" t="s">
        <v>35</v>
      </c>
      <c r="J47" s="241" t="s">
        <v>162</v>
      </c>
      <c r="K47" s="215" t="s">
        <v>24</v>
      </c>
      <c r="L47" s="215"/>
      <c r="M47" s="242"/>
      <c r="N47" s="248" t="s">
        <v>163</v>
      </c>
      <c r="O47" s="241" t="s">
        <v>164</v>
      </c>
      <c r="P47" s="279" t="s">
        <v>27</v>
      </c>
      <c r="Q47" s="239">
        <v>45597</v>
      </c>
      <c r="R47" s="239">
        <v>45605</v>
      </c>
      <c r="S47" s="235" t="s">
        <v>28</v>
      </c>
    </row>
    <row r="48" spans="1:19">
      <c r="A48" s="249">
        <v>60</v>
      </c>
      <c r="B48" s="249"/>
      <c r="C48" s="249"/>
      <c r="D48" s="215" t="s">
        <v>157</v>
      </c>
      <c r="E48" s="215" t="s">
        <v>124</v>
      </c>
      <c r="F48" s="231"/>
      <c r="G48" s="215">
        <v>11.06</v>
      </c>
      <c r="H48" s="215">
        <v>11.06</v>
      </c>
      <c r="I48" s="215" t="s">
        <v>29</v>
      </c>
      <c r="J48" s="230" t="s">
        <v>165</v>
      </c>
      <c r="K48" s="215" t="s">
        <v>24</v>
      </c>
      <c r="L48" s="215"/>
      <c r="M48" s="215"/>
      <c r="N48" s="229" t="s">
        <v>166</v>
      </c>
      <c r="O48" s="230" t="s">
        <v>167</v>
      </c>
      <c r="P48" s="215" t="s">
        <v>27</v>
      </c>
      <c r="Q48" s="239">
        <v>45603</v>
      </c>
      <c r="R48" s="239">
        <v>45603</v>
      </c>
      <c r="S48" s="235" t="s">
        <v>28</v>
      </c>
    </row>
    <row r="49" ht="72" spans="1:19">
      <c r="A49" s="280">
        <v>61</v>
      </c>
      <c r="B49" s="280"/>
      <c r="C49" s="280"/>
      <c r="D49" s="281" t="s">
        <v>168</v>
      </c>
      <c r="E49" s="281" t="s">
        <v>124</v>
      </c>
      <c r="F49" s="282"/>
      <c r="G49" s="281">
        <v>11.06</v>
      </c>
      <c r="H49" s="281">
        <v>11.06</v>
      </c>
      <c r="I49" s="281" t="s">
        <v>29</v>
      </c>
      <c r="J49" s="283" t="s">
        <v>169</v>
      </c>
      <c r="K49" s="281" t="s">
        <v>24</v>
      </c>
      <c r="L49" s="281"/>
      <c r="M49" s="281"/>
      <c r="N49" s="283" t="s">
        <v>170</v>
      </c>
      <c r="O49" s="283" t="s">
        <v>171</v>
      </c>
      <c r="P49" s="281" t="s">
        <v>27</v>
      </c>
      <c r="Q49" s="284">
        <v>45611</v>
      </c>
      <c r="R49" s="282"/>
      <c r="S49" s="235" t="s">
        <v>47</v>
      </c>
    </row>
    <row r="50" spans="1:19">
      <c r="A50" s="215">
        <v>53</v>
      </c>
      <c r="B50" s="215"/>
      <c r="C50" s="215"/>
      <c r="D50" s="215" t="s">
        <v>172</v>
      </c>
      <c r="E50" s="215" t="s">
        <v>124</v>
      </c>
      <c r="F50" s="215"/>
      <c r="G50" s="215"/>
      <c r="H50" s="249">
        <v>11.08</v>
      </c>
      <c r="I50" s="215" t="s">
        <v>29</v>
      </c>
      <c r="J50" s="265" t="s">
        <v>173</v>
      </c>
      <c r="K50" s="215" t="s">
        <v>24</v>
      </c>
      <c r="L50" s="215"/>
      <c r="M50" s="215"/>
      <c r="N50" s="229" t="s">
        <v>174</v>
      </c>
      <c r="O50" s="230" t="s">
        <v>175</v>
      </c>
      <c r="P50" s="215" t="s">
        <v>27</v>
      </c>
      <c r="Q50" s="234">
        <v>45611</v>
      </c>
      <c r="R50" s="231"/>
      <c r="S50" s="215" t="s">
        <v>176</v>
      </c>
    </row>
    <row r="51" ht="17" customHeight="1" spans="1:19">
      <c r="A51" s="249">
        <v>61</v>
      </c>
      <c r="B51" s="249"/>
      <c r="C51" s="249"/>
      <c r="D51" s="215" t="s">
        <v>157</v>
      </c>
      <c r="E51" s="215" t="s">
        <v>124</v>
      </c>
      <c r="F51" s="215"/>
      <c r="G51" s="215"/>
      <c r="H51" s="249">
        <v>11.09</v>
      </c>
      <c r="I51" s="215" t="s">
        <v>35</v>
      </c>
      <c r="J51" s="265" t="s">
        <v>177</v>
      </c>
      <c r="K51" s="215" t="s">
        <v>24</v>
      </c>
      <c r="L51" s="214"/>
      <c r="M51" s="215"/>
      <c r="N51" s="229" t="s">
        <v>178</v>
      </c>
      <c r="O51" s="230" t="s">
        <v>179</v>
      </c>
      <c r="P51" s="215" t="s">
        <v>27</v>
      </c>
      <c r="Q51" s="234">
        <v>45611</v>
      </c>
      <c r="R51" s="231"/>
      <c r="S51" s="215" t="s">
        <v>53</v>
      </c>
    </row>
    <row r="52" ht="28.8" spans="1:19">
      <c r="A52" s="280">
        <v>62</v>
      </c>
      <c r="B52" s="280"/>
      <c r="C52" s="280"/>
      <c r="D52" s="215"/>
      <c r="E52" s="215"/>
      <c r="F52" s="281"/>
      <c r="G52" s="281"/>
      <c r="H52" s="249"/>
      <c r="I52" s="281" t="s">
        <v>35</v>
      </c>
      <c r="J52" s="285" t="s">
        <v>180</v>
      </c>
      <c r="K52" s="281"/>
      <c r="L52" s="286"/>
      <c r="M52" s="281"/>
      <c r="N52" s="287" t="s">
        <v>181</v>
      </c>
      <c r="O52" s="283" t="s">
        <v>182</v>
      </c>
      <c r="P52" s="281" t="s">
        <v>27</v>
      </c>
      <c r="Q52" s="284">
        <v>45611</v>
      </c>
      <c r="R52" s="282"/>
      <c r="S52" s="215" t="s">
        <v>53</v>
      </c>
    </row>
    <row r="53" ht="28.8" spans="1:19">
      <c r="A53" s="249">
        <v>63</v>
      </c>
      <c r="B53" s="249"/>
      <c r="C53" s="249"/>
      <c r="D53" s="215"/>
      <c r="E53" s="215"/>
      <c r="F53" s="215"/>
      <c r="G53" s="215"/>
      <c r="H53" s="249"/>
      <c r="I53" s="215" t="s">
        <v>35</v>
      </c>
      <c r="J53" s="265" t="s">
        <v>183</v>
      </c>
      <c r="K53" s="215" t="s">
        <v>24</v>
      </c>
      <c r="L53" s="214"/>
      <c r="M53" s="215"/>
      <c r="N53" s="229" t="s">
        <v>184</v>
      </c>
      <c r="O53" s="230" t="s">
        <v>179</v>
      </c>
      <c r="P53" s="215" t="s">
        <v>27</v>
      </c>
      <c r="Q53" s="234">
        <v>45611</v>
      </c>
      <c r="R53" s="231"/>
      <c r="S53" s="215" t="s">
        <v>53</v>
      </c>
    </row>
    <row r="54" spans="1:19">
      <c r="A54" s="249">
        <v>64</v>
      </c>
      <c r="B54" s="249"/>
      <c r="C54" s="249"/>
      <c r="D54" s="215"/>
      <c r="E54" s="215"/>
      <c r="F54" s="238"/>
      <c r="G54" s="238"/>
      <c r="H54" s="249"/>
      <c r="I54" s="215" t="s">
        <v>35</v>
      </c>
      <c r="J54" s="288" t="s">
        <v>185</v>
      </c>
      <c r="K54" s="238" t="s">
        <v>24</v>
      </c>
      <c r="L54" s="215"/>
      <c r="M54" s="215"/>
      <c r="N54" s="229" t="s">
        <v>186</v>
      </c>
      <c r="O54" s="289" t="s">
        <v>187</v>
      </c>
      <c r="P54" s="215" t="s">
        <v>27</v>
      </c>
      <c r="Q54" s="234">
        <v>45611</v>
      </c>
      <c r="R54" s="231"/>
      <c r="S54" s="215" t="s">
        <v>53</v>
      </c>
    </row>
    <row r="55" spans="1:19">
      <c r="A55" s="215">
        <v>66</v>
      </c>
      <c r="B55" s="215"/>
      <c r="C55" s="215"/>
      <c r="D55" s="215" t="s">
        <v>151</v>
      </c>
      <c r="E55" s="215" t="s">
        <v>124</v>
      </c>
      <c r="F55" s="215"/>
      <c r="G55" s="215"/>
      <c r="H55" s="215">
        <v>11.11</v>
      </c>
      <c r="I55" s="215" t="s">
        <v>29</v>
      </c>
      <c r="J55" s="230" t="s">
        <v>188</v>
      </c>
      <c r="K55" s="215" t="s">
        <v>24</v>
      </c>
      <c r="L55" s="215"/>
      <c r="M55" s="215"/>
      <c r="N55" s="229" t="s">
        <v>189</v>
      </c>
      <c r="O55" s="230" t="s">
        <v>190</v>
      </c>
      <c r="P55" s="215" t="s">
        <v>27</v>
      </c>
      <c r="Q55" s="234">
        <v>45610</v>
      </c>
      <c r="R55" s="234">
        <v>45629</v>
      </c>
      <c r="S55" s="268" t="s">
        <v>28</v>
      </c>
    </row>
    <row r="56" ht="43.2" spans="1:19">
      <c r="A56" s="215">
        <v>74</v>
      </c>
      <c r="B56" s="215"/>
      <c r="C56" s="215"/>
      <c r="D56" s="215" t="s">
        <v>151</v>
      </c>
      <c r="E56" s="215" t="s">
        <v>124</v>
      </c>
      <c r="F56" s="215"/>
      <c r="G56" s="215"/>
      <c r="H56" s="215">
        <v>11.14</v>
      </c>
      <c r="I56" s="236" t="s">
        <v>22</v>
      </c>
      <c r="J56" s="230" t="s">
        <v>191</v>
      </c>
      <c r="K56" s="215" t="s">
        <v>24</v>
      </c>
      <c r="L56" s="215"/>
      <c r="M56" s="215"/>
      <c r="N56" s="229" t="s">
        <v>192</v>
      </c>
      <c r="O56" s="229" t="s">
        <v>193</v>
      </c>
      <c r="P56" s="215" t="s">
        <v>27</v>
      </c>
      <c r="Q56" s="234">
        <v>45618</v>
      </c>
      <c r="R56" s="234">
        <v>45621</v>
      </c>
      <c r="S56" s="215" t="s">
        <v>28</v>
      </c>
    </row>
    <row r="57" ht="28.8" spans="1:19">
      <c r="A57" s="215">
        <v>75</v>
      </c>
      <c r="B57" s="215"/>
      <c r="C57" s="215"/>
      <c r="D57" s="215" t="s">
        <v>194</v>
      </c>
      <c r="E57" s="215" t="s">
        <v>124</v>
      </c>
      <c r="F57" s="215"/>
      <c r="G57" s="215"/>
      <c r="H57" s="215">
        <v>11.14</v>
      </c>
      <c r="I57" s="215" t="s">
        <v>29</v>
      </c>
      <c r="J57" s="230" t="s">
        <v>195</v>
      </c>
      <c r="K57" s="215" t="s">
        <v>24</v>
      </c>
      <c r="L57" s="215"/>
      <c r="M57" s="215"/>
      <c r="N57" s="229" t="s">
        <v>196</v>
      </c>
      <c r="O57" s="230" t="s">
        <v>197</v>
      </c>
      <c r="P57" s="215" t="s">
        <v>27</v>
      </c>
      <c r="Q57" s="234">
        <v>45614</v>
      </c>
      <c r="R57" s="231"/>
      <c r="S57" s="215" t="s">
        <v>58</v>
      </c>
    </row>
    <row r="58" spans="1:19">
      <c r="A58" s="215">
        <v>85</v>
      </c>
      <c r="B58" s="215"/>
      <c r="C58" s="215"/>
      <c r="D58" s="215" t="s">
        <v>168</v>
      </c>
      <c r="E58" s="215" t="s">
        <v>124</v>
      </c>
      <c r="F58" s="215"/>
      <c r="G58" s="215"/>
      <c r="H58" s="215">
        <v>11.18</v>
      </c>
      <c r="I58" s="215" t="s">
        <v>29</v>
      </c>
      <c r="J58" s="230" t="s">
        <v>198</v>
      </c>
      <c r="K58" s="215" t="s">
        <v>24</v>
      </c>
      <c r="L58" s="215"/>
      <c r="M58" s="215"/>
      <c r="N58" s="229" t="s">
        <v>199</v>
      </c>
      <c r="O58" s="230" t="s">
        <v>200</v>
      </c>
      <c r="P58" s="215" t="s">
        <v>27</v>
      </c>
      <c r="Q58" s="234">
        <v>45615</v>
      </c>
      <c r="R58" s="231"/>
      <c r="S58" s="232" t="s">
        <v>201</v>
      </c>
    </row>
    <row r="59" ht="28.8" spans="1:19">
      <c r="A59" s="215">
        <v>89</v>
      </c>
      <c r="B59" s="215"/>
      <c r="C59" s="215"/>
      <c r="D59" s="215" t="s">
        <v>151</v>
      </c>
      <c r="E59" s="215" t="s">
        <v>124</v>
      </c>
      <c r="F59" s="215"/>
      <c r="G59" s="215"/>
      <c r="H59" s="215">
        <v>11.19</v>
      </c>
      <c r="I59" s="215" t="s">
        <v>22</v>
      </c>
      <c r="J59" s="230" t="s">
        <v>202</v>
      </c>
      <c r="K59" s="215" t="s">
        <v>24</v>
      </c>
      <c r="L59" s="215"/>
      <c r="M59" s="215"/>
      <c r="N59" s="229" t="s">
        <v>203</v>
      </c>
      <c r="O59" s="230" t="s">
        <v>204</v>
      </c>
      <c r="P59" s="215" t="s">
        <v>27</v>
      </c>
      <c r="Q59" s="234">
        <v>45619</v>
      </c>
      <c r="R59" s="267">
        <v>45629</v>
      </c>
      <c r="S59" s="268" t="s">
        <v>28</v>
      </c>
    </row>
    <row r="60" spans="1:19">
      <c r="A60" s="215">
        <v>90</v>
      </c>
      <c r="B60" s="215"/>
      <c r="C60" s="215"/>
      <c r="D60" s="215" t="s">
        <v>205</v>
      </c>
      <c r="E60" s="215" t="s">
        <v>124</v>
      </c>
      <c r="F60" s="215"/>
      <c r="G60" s="215"/>
      <c r="H60" s="215">
        <v>11.21</v>
      </c>
      <c r="I60" s="215" t="s">
        <v>29</v>
      </c>
      <c r="J60" s="230" t="s">
        <v>206</v>
      </c>
      <c r="K60" s="215" t="s">
        <v>24</v>
      </c>
      <c r="L60" s="215"/>
      <c r="M60" s="215"/>
      <c r="N60" s="229" t="s">
        <v>207</v>
      </c>
      <c r="O60" s="230" t="s">
        <v>208</v>
      </c>
      <c r="P60" s="215" t="s">
        <v>27</v>
      </c>
      <c r="Q60" s="234">
        <v>45622</v>
      </c>
      <c r="R60" s="234">
        <v>45621</v>
      </c>
      <c r="S60" s="235" t="s">
        <v>28</v>
      </c>
    </row>
    <row r="61" ht="28.8" spans="1:19">
      <c r="A61" s="224">
        <v>96</v>
      </c>
      <c r="B61" s="224"/>
      <c r="C61" s="224"/>
      <c r="D61" s="224" t="s">
        <v>209</v>
      </c>
      <c r="E61" s="224" t="s">
        <v>124</v>
      </c>
      <c r="F61" s="224"/>
      <c r="G61" s="224"/>
      <c r="H61" s="224">
        <v>11.22</v>
      </c>
      <c r="I61" s="221" t="s">
        <v>29</v>
      </c>
      <c r="J61" s="226" t="s">
        <v>210</v>
      </c>
      <c r="K61" s="224" t="s">
        <v>24</v>
      </c>
      <c r="L61" s="224"/>
      <c r="M61" s="224"/>
      <c r="N61" s="225" t="s">
        <v>211</v>
      </c>
      <c r="O61" s="226" t="s">
        <v>212</v>
      </c>
      <c r="P61" s="215" t="s">
        <v>27</v>
      </c>
      <c r="Q61" s="224" t="s">
        <v>213</v>
      </c>
      <c r="R61" s="227"/>
      <c r="S61" s="215" t="s">
        <v>58</v>
      </c>
    </row>
    <row r="62" ht="28.8" spans="1:19">
      <c r="A62" s="224">
        <v>99</v>
      </c>
      <c r="B62" s="224"/>
      <c r="C62" s="224"/>
      <c r="D62" s="224" t="s">
        <v>205</v>
      </c>
      <c r="E62" s="224" t="s">
        <v>124</v>
      </c>
      <c r="F62" s="224"/>
      <c r="G62" s="224"/>
      <c r="H62" s="224">
        <v>11.23</v>
      </c>
      <c r="I62" s="221" t="s">
        <v>35</v>
      </c>
      <c r="J62" s="226" t="s">
        <v>214</v>
      </c>
      <c r="K62" s="224" t="s">
        <v>24</v>
      </c>
      <c r="L62" s="224"/>
      <c r="M62" s="224"/>
      <c r="N62" s="225" t="s">
        <v>215</v>
      </c>
      <c r="O62" s="226" t="s">
        <v>216</v>
      </c>
      <c r="P62" s="215" t="s">
        <v>27</v>
      </c>
      <c r="Q62" s="234">
        <v>45622</v>
      </c>
      <c r="R62" s="234">
        <v>45621</v>
      </c>
      <c r="S62" s="235" t="s">
        <v>28</v>
      </c>
    </row>
    <row r="63" ht="43.2" spans="1:19">
      <c r="A63" s="215">
        <v>107</v>
      </c>
      <c r="B63" s="215"/>
      <c r="C63" s="215"/>
      <c r="D63" s="215" t="s">
        <v>217</v>
      </c>
      <c r="E63" s="215" t="s">
        <v>124</v>
      </c>
      <c r="F63" s="215"/>
      <c r="G63" s="215"/>
      <c r="H63" s="215">
        <v>11.27</v>
      </c>
      <c r="I63" s="236" t="s">
        <v>218</v>
      </c>
      <c r="J63" s="230" t="s">
        <v>219</v>
      </c>
      <c r="K63" s="215" t="s">
        <v>24</v>
      </c>
      <c r="L63" s="215"/>
      <c r="M63" s="215"/>
      <c r="N63" s="229"/>
      <c r="O63" s="233"/>
      <c r="P63" s="264" t="s">
        <v>27</v>
      </c>
      <c r="Q63" s="215"/>
      <c r="R63" s="231"/>
      <c r="S63" s="215" t="s">
        <v>53</v>
      </c>
    </row>
    <row r="64" spans="1:19">
      <c r="A64" s="215">
        <v>113</v>
      </c>
      <c r="B64" s="215"/>
      <c r="C64" s="215"/>
      <c r="D64" s="215" t="s">
        <v>217</v>
      </c>
      <c r="E64" s="215" t="s">
        <v>124</v>
      </c>
      <c r="F64" s="215"/>
      <c r="G64" s="215"/>
      <c r="H64" s="215">
        <v>12.3</v>
      </c>
      <c r="I64" s="215" t="s">
        <v>22</v>
      </c>
      <c r="J64" s="230" t="s">
        <v>220</v>
      </c>
      <c r="K64" s="215" t="s">
        <v>24</v>
      </c>
      <c r="L64" s="215"/>
      <c r="M64" s="215"/>
      <c r="N64" s="290" t="s">
        <v>221</v>
      </c>
      <c r="O64" s="230" t="s">
        <v>222</v>
      </c>
      <c r="P64" s="215" t="s">
        <v>27</v>
      </c>
      <c r="Q64" s="291">
        <v>45635</v>
      </c>
      <c r="R64" s="231"/>
      <c r="S64" s="215" t="s">
        <v>58</v>
      </c>
    </row>
    <row r="65" ht="43.2" spans="1:19">
      <c r="A65" s="215">
        <v>114</v>
      </c>
      <c r="B65" s="215"/>
      <c r="C65" s="215"/>
      <c r="D65" s="215" t="s">
        <v>223</v>
      </c>
      <c r="E65" s="215" t="s">
        <v>124</v>
      </c>
      <c r="F65" s="215"/>
      <c r="G65" s="215"/>
      <c r="H65" s="215">
        <v>12.3</v>
      </c>
      <c r="I65" s="215" t="s">
        <v>22</v>
      </c>
      <c r="J65" s="230" t="s">
        <v>224</v>
      </c>
      <c r="K65" s="215" t="s">
        <v>24</v>
      </c>
      <c r="L65" s="215"/>
      <c r="M65" s="215"/>
      <c r="N65" s="292" t="s">
        <v>225</v>
      </c>
      <c r="O65" s="230" t="s">
        <v>226</v>
      </c>
      <c r="P65" s="215" t="s">
        <v>27</v>
      </c>
      <c r="Q65" s="291">
        <v>45629</v>
      </c>
      <c r="R65" s="231"/>
      <c r="S65" s="215" t="s">
        <v>58</v>
      </c>
    </row>
    <row r="66" ht="28.8" spans="1:19">
      <c r="A66" s="215">
        <v>116</v>
      </c>
      <c r="B66" s="215"/>
      <c r="C66" s="215"/>
      <c r="D66" s="215" t="s">
        <v>168</v>
      </c>
      <c r="E66" s="215" t="s">
        <v>124</v>
      </c>
      <c r="F66" s="215"/>
      <c r="G66" s="215"/>
      <c r="H66" s="215">
        <v>12.3</v>
      </c>
      <c r="I66" s="215" t="s">
        <v>35</v>
      </c>
      <c r="J66" s="230" t="s">
        <v>227</v>
      </c>
      <c r="K66" s="215" t="s">
        <v>24</v>
      </c>
      <c r="L66" s="215"/>
      <c r="M66" s="215"/>
      <c r="N66" s="292" t="s">
        <v>228</v>
      </c>
      <c r="O66" s="230" t="s">
        <v>229</v>
      </c>
      <c r="P66" s="215" t="s">
        <v>27</v>
      </c>
      <c r="Q66" s="215" t="s">
        <v>213</v>
      </c>
      <c r="R66" s="231"/>
      <c r="S66" s="215" t="s">
        <v>58</v>
      </c>
    </row>
    <row r="67" spans="1:19">
      <c r="A67" s="215">
        <v>120</v>
      </c>
      <c r="B67" s="215"/>
      <c r="C67" s="215"/>
      <c r="D67" s="215" t="s">
        <v>209</v>
      </c>
      <c r="E67" s="215" t="s">
        <v>124</v>
      </c>
      <c r="F67" s="215"/>
      <c r="G67" s="215"/>
      <c r="H67" s="215">
        <v>12.3</v>
      </c>
      <c r="I67" s="215" t="s">
        <v>35</v>
      </c>
      <c r="J67" s="230" t="s">
        <v>230</v>
      </c>
      <c r="K67" s="215" t="s">
        <v>24</v>
      </c>
      <c r="L67" s="215"/>
      <c r="M67" s="215"/>
      <c r="N67" s="229"/>
      <c r="O67" s="261"/>
      <c r="P67" s="215" t="s">
        <v>27</v>
      </c>
      <c r="Q67" s="215"/>
      <c r="R67" s="231"/>
      <c r="S67" s="215" t="s">
        <v>58</v>
      </c>
    </row>
    <row r="68" spans="1:19">
      <c r="A68" s="221">
        <v>23</v>
      </c>
      <c r="B68" s="221" t="s">
        <v>231</v>
      </c>
      <c r="C68" s="221" t="s">
        <v>112</v>
      </c>
      <c r="D68" s="236" t="s">
        <v>232</v>
      </c>
      <c r="E68" s="236" t="s">
        <v>233</v>
      </c>
      <c r="F68" s="236"/>
      <c r="G68" s="236"/>
      <c r="H68" s="236" t="s">
        <v>69</v>
      </c>
      <c r="I68" s="240" t="s">
        <v>35</v>
      </c>
      <c r="J68" s="241" t="s">
        <v>234</v>
      </c>
      <c r="K68" s="215" t="s">
        <v>24</v>
      </c>
      <c r="L68" s="215"/>
      <c r="M68" s="215"/>
      <c r="N68" s="229" t="s">
        <v>235</v>
      </c>
      <c r="O68" s="233"/>
      <c r="P68" s="215" t="s">
        <v>27</v>
      </c>
      <c r="Q68" s="231"/>
      <c r="R68" s="231"/>
      <c r="S68" s="277" t="s">
        <v>28</v>
      </c>
    </row>
    <row r="69" spans="1:19">
      <c r="A69" s="221">
        <v>38</v>
      </c>
      <c r="B69" s="221"/>
      <c r="C69" s="221"/>
      <c r="D69" s="236" t="s">
        <v>236</v>
      </c>
      <c r="E69" s="236" t="s">
        <v>233</v>
      </c>
      <c r="F69" s="236"/>
      <c r="G69" s="236" t="s">
        <v>21</v>
      </c>
      <c r="H69" s="262">
        <v>10.3</v>
      </c>
      <c r="I69" s="246" t="s">
        <v>35</v>
      </c>
      <c r="J69" s="241" t="s">
        <v>237</v>
      </c>
      <c r="K69" s="246" t="s">
        <v>24</v>
      </c>
      <c r="L69" s="246"/>
      <c r="M69" s="215"/>
      <c r="N69" s="248" t="s">
        <v>238</v>
      </c>
      <c r="O69" s="241" t="s">
        <v>239</v>
      </c>
      <c r="P69" s="215" t="s">
        <v>27</v>
      </c>
      <c r="Q69" s="231"/>
      <c r="R69" s="231"/>
      <c r="S69" s="237" t="s">
        <v>28</v>
      </c>
    </row>
    <row r="70" ht="17" customHeight="1" spans="1:19">
      <c r="A70" s="221">
        <v>25</v>
      </c>
      <c r="B70" s="221"/>
      <c r="C70" s="221" t="s">
        <v>240</v>
      </c>
      <c r="D70" s="215" t="s">
        <v>241</v>
      </c>
      <c r="E70" s="215" t="s">
        <v>233</v>
      </c>
      <c r="F70" s="215"/>
      <c r="G70" s="215" t="s">
        <v>242</v>
      </c>
      <c r="H70" s="249">
        <v>10.23</v>
      </c>
      <c r="I70" s="215" t="s">
        <v>35</v>
      </c>
      <c r="J70" s="265" t="s">
        <v>243</v>
      </c>
      <c r="K70" s="215" t="s">
        <v>24</v>
      </c>
      <c r="L70" s="215"/>
      <c r="M70" s="215"/>
      <c r="N70" s="229" t="s">
        <v>244</v>
      </c>
      <c r="O70" s="230" t="s">
        <v>245</v>
      </c>
      <c r="P70" s="215"/>
      <c r="Q70" s="231"/>
      <c r="R70" s="239">
        <v>45592</v>
      </c>
      <c r="S70" s="215" t="s">
        <v>28</v>
      </c>
    </row>
    <row r="71" spans="1:19">
      <c r="A71" s="221">
        <v>26</v>
      </c>
      <c r="B71" s="221"/>
      <c r="C71" s="221"/>
      <c r="D71" s="215"/>
      <c r="E71" s="215"/>
      <c r="F71" s="215"/>
      <c r="G71" s="215"/>
      <c r="H71" s="249"/>
      <c r="I71" s="215" t="s">
        <v>35</v>
      </c>
      <c r="J71" s="265" t="s">
        <v>246</v>
      </c>
      <c r="K71" s="215" t="s">
        <v>24</v>
      </c>
      <c r="L71" s="215"/>
      <c r="M71" s="215"/>
      <c r="N71" s="229" t="s">
        <v>247</v>
      </c>
      <c r="O71" s="230" t="s">
        <v>248</v>
      </c>
      <c r="P71" s="215"/>
      <c r="Q71" s="231"/>
      <c r="R71" s="239">
        <v>45591</v>
      </c>
      <c r="S71" s="215" t="s">
        <v>28</v>
      </c>
    </row>
    <row r="72" ht="28.8" spans="1:19">
      <c r="A72" s="221">
        <v>40</v>
      </c>
      <c r="B72" s="221"/>
      <c r="C72" s="221"/>
      <c r="D72" s="236" t="s">
        <v>249</v>
      </c>
      <c r="E72" s="236" t="s">
        <v>233</v>
      </c>
      <c r="F72" s="236"/>
      <c r="G72" s="230" t="s">
        <v>21</v>
      </c>
      <c r="H72" s="236">
        <v>10.31</v>
      </c>
      <c r="I72" s="276" t="s">
        <v>22</v>
      </c>
      <c r="J72" s="241" t="s">
        <v>250</v>
      </c>
      <c r="K72" s="215" t="s">
        <v>24</v>
      </c>
      <c r="L72" s="215"/>
      <c r="M72" s="229" t="s">
        <v>24</v>
      </c>
      <c r="N72" s="229" t="s">
        <v>251</v>
      </c>
      <c r="O72" s="230" t="s">
        <v>252</v>
      </c>
      <c r="P72" s="215" t="s">
        <v>27</v>
      </c>
      <c r="Q72" s="234">
        <v>45622</v>
      </c>
      <c r="R72" s="234">
        <v>45622</v>
      </c>
      <c r="S72" s="232" t="s">
        <v>47</v>
      </c>
    </row>
    <row r="73" ht="17" customHeight="1" spans="1:19">
      <c r="A73" s="221">
        <v>27</v>
      </c>
      <c r="B73" s="221"/>
      <c r="C73" s="221" t="s">
        <v>253</v>
      </c>
      <c r="D73" s="215" t="s">
        <v>254</v>
      </c>
      <c r="E73" s="215" t="s">
        <v>233</v>
      </c>
      <c r="F73" s="224"/>
      <c r="G73" s="215" t="s">
        <v>242</v>
      </c>
      <c r="H73" s="249">
        <v>10.29</v>
      </c>
      <c r="I73" s="215" t="s">
        <v>35</v>
      </c>
      <c r="J73" s="265" t="s">
        <v>255</v>
      </c>
      <c r="K73" s="215" t="s">
        <v>24</v>
      </c>
      <c r="L73" s="215"/>
      <c r="M73" s="215"/>
      <c r="N73" s="229" t="s">
        <v>256</v>
      </c>
      <c r="O73" s="230" t="s">
        <v>257</v>
      </c>
      <c r="P73" s="215" t="s">
        <v>27</v>
      </c>
      <c r="Q73" s="239">
        <v>45597</v>
      </c>
      <c r="R73" s="231"/>
      <c r="S73" s="215" t="s">
        <v>47</v>
      </c>
    </row>
    <row r="74" spans="1:19">
      <c r="A74" s="221">
        <v>28</v>
      </c>
      <c r="B74" s="221"/>
      <c r="C74" s="221"/>
      <c r="D74" s="215"/>
      <c r="E74" s="215"/>
      <c r="F74" s="293"/>
      <c r="G74" s="215"/>
      <c r="H74" s="249"/>
      <c r="I74" s="215" t="s">
        <v>22</v>
      </c>
      <c r="J74" s="265" t="s">
        <v>258</v>
      </c>
      <c r="K74" s="215" t="s">
        <v>24</v>
      </c>
      <c r="L74" s="215"/>
      <c r="M74" s="215"/>
      <c r="N74" s="229" t="s">
        <v>259</v>
      </c>
      <c r="O74" s="230" t="s">
        <v>257</v>
      </c>
      <c r="P74" s="215" t="s">
        <v>27</v>
      </c>
      <c r="Q74" s="239">
        <v>45597</v>
      </c>
      <c r="R74" s="231"/>
      <c r="S74" s="215" t="s">
        <v>47</v>
      </c>
    </row>
    <row r="75" ht="28.8" spans="1:19">
      <c r="A75" s="221">
        <v>29</v>
      </c>
      <c r="B75" s="221"/>
      <c r="C75" s="221"/>
      <c r="D75" s="215"/>
      <c r="E75" s="215"/>
      <c r="F75" s="238"/>
      <c r="G75" s="215"/>
      <c r="H75" s="249"/>
      <c r="I75" s="294" t="s">
        <v>22</v>
      </c>
      <c r="J75" s="295" t="s">
        <v>260</v>
      </c>
      <c r="K75" s="215" t="s">
        <v>24</v>
      </c>
      <c r="L75" s="215"/>
      <c r="M75" s="215"/>
      <c r="N75" s="229"/>
      <c r="O75" s="233"/>
      <c r="P75" s="215" t="s">
        <v>27</v>
      </c>
      <c r="Q75" s="278"/>
      <c r="R75" s="231"/>
      <c r="S75" s="215" t="s">
        <v>47</v>
      </c>
    </row>
    <row r="76" ht="28.8" spans="1:19">
      <c r="A76" s="249">
        <v>55</v>
      </c>
      <c r="B76" s="249"/>
      <c r="C76" s="249"/>
      <c r="D76" s="215" t="s">
        <v>254</v>
      </c>
      <c r="E76" s="215" t="s">
        <v>93</v>
      </c>
      <c r="F76" s="215" t="s">
        <v>21</v>
      </c>
      <c r="G76" s="215"/>
      <c r="H76" s="215">
        <v>11.01</v>
      </c>
      <c r="I76" s="215" t="s">
        <v>22</v>
      </c>
      <c r="J76" s="230" t="s">
        <v>261</v>
      </c>
      <c r="K76" s="215" t="s">
        <v>24</v>
      </c>
      <c r="L76" s="215"/>
      <c r="M76" s="215"/>
      <c r="N76" s="229" t="s">
        <v>262</v>
      </c>
      <c r="O76" s="230" t="s">
        <v>263</v>
      </c>
      <c r="P76" s="215" t="s">
        <v>27</v>
      </c>
      <c r="Q76" s="239">
        <v>45604</v>
      </c>
      <c r="R76" s="239">
        <v>45604</v>
      </c>
      <c r="S76" s="235" t="s">
        <v>28</v>
      </c>
    </row>
    <row r="77" spans="1:19">
      <c r="A77" s="215">
        <v>65</v>
      </c>
      <c r="B77" s="215"/>
      <c r="C77" s="215"/>
      <c r="D77" s="215" t="s">
        <v>264</v>
      </c>
      <c r="E77" s="215" t="s">
        <v>233</v>
      </c>
      <c r="F77" s="215"/>
      <c r="G77" s="215"/>
      <c r="H77" s="215">
        <v>11.09</v>
      </c>
      <c r="I77" s="215" t="s">
        <v>65</v>
      </c>
      <c r="J77" s="230" t="s">
        <v>265</v>
      </c>
      <c r="K77" s="215" t="s">
        <v>24</v>
      </c>
      <c r="L77" s="215"/>
      <c r="M77" s="215"/>
      <c r="N77" s="229"/>
      <c r="O77" s="233"/>
      <c r="P77" s="215"/>
      <c r="Q77" s="231"/>
      <c r="R77" s="231"/>
      <c r="S77" s="235" t="s">
        <v>28</v>
      </c>
    </row>
    <row r="78" spans="1:19">
      <c r="A78" s="249">
        <v>65</v>
      </c>
      <c r="B78" s="249"/>
      <c r="C78" s="249"/>
      <c r="D78" s="215" t="s">
        <v>241</v>
      </c>
      <c r="E78" s="215" t="s">
        <v>233</v>
      </c>
      <c r="F78" s="215"/>
      <c r="G78" s="215"/>
      <c r="H78" s="215">
        <v>11.11</v>
      </c>
      <c r="I78" s="215" t="s">
        <v>29</v>
      </c>
      <c r="J78" s="230" t="s">
        <v>266</v>
      </c>
      <c r="K78" s="215" t="s">
        <v>24</v>
      </c>
      <c r="L78" s="215"/>
      <c r="M78" s="215"/>
      <c r="N78" s="229"/>
      <c r="O78" s="230" t="s">
        <v>267</v>
      </c>
      <c r="P78" s="215" t="s">
        <v>27</v>
      </c>
      <c r="Q78" s="234">
        <v>45608</v>
      </c>
      <c r="R78" s="296">
        <v>11.14</v>
      </c>
      <c r="S78" s="235" t="s">
        <v>28</v>
      </c>
    </row>
    <row r="79" spans="1:19">
      <c r="A79" s="215">
        <v>91</v>
      </c>
      <c r="B79" s="215"/>
      <c r="C79" s="215"/>
      <c r="D79" s="215" t="s">
        <v>241</v>
      </c>
      <c r="E79" s="215" t="s">
        <v>233</v>
      </c>
      <c r="F79" s="215"/>
      <c r="G79" s="215"/>
      <c r="H79" s="267">
        <v>45616</v>
      </c>
      <c r="I79" s="215" t="s">
        <v>22</v>
      </c>
      <c r="J79" s="230" t="s">
        <v>268</v>
      </c>
      <c r="K79" s="215" t="s">
        <v>24</v>
      </c>
      <c r="L79" s="215"/>
      <c r="M79" s="215"/>
      <c r="N79" s="229" t="s">
        <v>269</v>
      </c>
      <c r="O79" s="230" t="s">
        <v>270</v>
      </c>
      <c r="P79" s="215" t="s">
        <v>27</v>
      </c>
      <c r="Q79" s="234">
        <v>45624</v>
      </c>
      <c r="R79" s="234">
        <v>45624</v>
      </c>
      <c r="S79" s="232" t="s">
        <v>201</v>
      </c>
    </row>
    <row r="80" spans="1:19">
      <c r="A80" s="215">
        <v>103</v>
      </c>
      <c r="B80" s="215"/>
      <c r="C80" s="215"/>
      <c r="D80" s="215" t="s">
        <v>241</v>
      </c>
      <c r="E80" s="215" t="s">
        <v>233</v>
      </c>
      <c r="F80" s="215"/>
      <c r="G80" s="215"/>
      <c r="H80" s="215">
        <v>11.25</v>
      </c>
      <c r="I80" s="215" t="s">
        <v>35</v>
      </c>
      <c r="J80" s="230" t="s">
        <v>271</v>
      </c>
      <c r="K80" s="215" t="s">
        <v>24</v>
      </c>
      <c r="L80" s="215"/>
      <c r="M80" s="215"/>
      <c r="N80" s="229" t="s">
        <v>269</v>
      </c>
      <c r="O80" s="230" t="s">
        <v>270</v>
      </c>
      <c r="P80" s="215" t="s">
        <v>27</v>
      </c>
      <c r="Q80" s="234">
        <v>45624</v>
      </c>
      <c r="R80" s="234">
        <v>45624</v>
      </c>
      <c r="S80" s="297" t="s">
        <v>28</v>
      </c>
    </row>
    <row r="81" ht="28.8" spans="1:19">
      <c r="A81" s="215">
        <v>108</v>
      </c>
      <c r="B81" s="215"/>
      <c r="C81" s="215"/>
      <c r="D81" s="215" t="s">
        <v>241</v>
      </c>
      <c r="E81" s="215" t="s">
        <v>233</v>
      </c>
      <c r="F81" s="215"/>
      <c r="G81" s="215"/>
      <c r="H81" s="215">
        <v>11.28</v>
      </c>
      <c r="I81" s="215" t="s">
        <v>29</v>
      </c>
      <c r="J81" s="230" t="s">
        <v>272</v>
      </c>
      <c r="K81" s="215" t="s">
        <v>24</v>
      </c>
      <c r="L81" s="215"/>
      <c r="M81" s="215"/>
      <c r="N81" s="229" t="s">
        <v>273</v>
      </c>
      <c r="O81" s="230" t="s">
        <v>274</v>
      </c>
      <c r="P81" s="264" t="s">
        <v>27</v>
      </c>
      <c r="Q81" s="234">
        <v>45624</v>
      </c>
      <c r="R81" s="234">
        <v>45624</v>
      </c>
      <c r="S81" s="232" t="s">
        <v>201</v>
      </c>
    </row>
    <row r="82" ht="28.8" spans="1:19">
      <c r="A82" s="221">
        <v>30</v>
      </c>
      <c r="B82" s="221" t="s">
        <v>275</v>
      </c>
      <c r="C82" s="221"/>
      <c r="D82" s="215" t="s">
        <v>276</v>
      </c>
      <c r="E82" s="215" t="s">
        <v>93</v>
      </c>
      <c r="F82" s="215"/>
      <c r="G82" s="215"/>
      <c r="H82" s="215">
        <v>10.29</v>
      </c>
      <c r="I82" s="238" t="s">
        <v>29</v>
      </c>
      <c r="J82" s="230" t="s">
        <v>277</v>
      </c>
      <c r="K82" s="215" t="s">
        <v>24</v>
      </c>
      <c r="L82" s="215"/>
      <c r="M82" s="215"/>
      <c r="N82" s="229" t="s">
        <v>278</v>
      </c>
      <c r="O82" s="230" t="s">
        <v>279</v>
      </c>
      <c r="P82" s="215" t="s">
        <v>27</v>
      </c>
      <c r="Q82" s="239">
        <v>45601</v>
      </c>
      <c r="R82" s="231"/>
      <c r="S82" s="235" t="s">
        <v>28</v>
      </c>
    </row>
    <row r="83" ht="28.8" spans="1:19">
      <c r="A83" s="221">
        <v>35</v>
      </c>
      <c r="B83" s="221"/>
      <c r="C83" s="221"/>
      <c r="D83" s="236" t="s">
        <v>280</v>
      </c>
      <c r="E83" s="236" t="s">
        <v>93</v>
      </c>
      <c r="F83" s="236"/>
      <c r="G83" s="236"/>
      <c r="H83" s="215">
        <v>10.29</v>
      </c>
      <c r="I83" s="246" t="s">
        <v>29</v>
      </c>
      <c r="J83" s="241" t="s">
        <v>281</v>
      </c>
      <c r="K83" s="215" t="s">
        <v>24</v>
      </c>
      <c r="L83" s="215"/>
      <c r="M83" s="215"/>
      <c r="N83" s="298" t="s">
        <v>282</v>
      </c>
      <c r="O83" s="230" t="s">
        <v>283</v>
      </c>
      <c r="P83" s="215" t="s">
        <v>27</v>
      </c>
      <c r="Q83" s="239">
        <v>45601</v>
      </c>
      <c r="R83" s="239">
        <v>45602</v>
      </c>
      <c r="S83" s="235" t="s">
        <v>28</v>
      </c>
    </row>
    <row r="84" ht="43.2" spans="1:19">
      <c r="A84" s="215">
        <v>45</v>
      </c>
      <c r="B84" s="215"/>
      <c r="C84" s="215"/>
      <c r="D84" s="215" t="s">
        <v>284</v>
      </c>
      <c r="E84" s="215" t="s">
        <v>93</v>
      </c>
      <c r="F84" s="215"/>
      <c r="G84" s="215"/>
      <c r="H84" s="215">
        <v>10.31</v>
      </c>
      <c r="I84" s="215" t="s">
        <v>29</v>
      </c>
      <c r="J84" s="230" t="s">
        <v>285</v>
      </c>
      <c r="K84" s="215" t="s">
        <v>24</v>
      </c>
      <c r="L84" s="215"/>
      <c r="M84" s="215"/>
      <c r="N84" s="230" t="s">
        <v>286</v>
      </c>
      <c r="O84" s="230" t="s">
        <v>287</v>
      </c>
      <c r="P84" s="279" t="s">
        <v>27</v>
      </c>
      <c r="Q84" s="239">
        <v>45597</v>
      </c>
      <c r="R84" s="231"/>
      <c r="S84" s="299" t="s">
        <v>28</v>
      </c>
    </row>
    <row r="85" spans="1:19">
      <c r="A85" s="215">
        <v>58</v>
      </c>
      <c r="B85" s="215"/>
      <c r="C85" s="215"/>
      <c r="D85" s="215" t="s">
        <v>288</v>
      </c>
      <c r="E85" s="215" t="s">
        <v>93</v>
      </c>
      <c r="F85" s="215"/>
      <c r="G85" s="215"/>
      <c r="H85" s="215">
        <v>11.04</v>
      </c>
      <c r="I85" s="215" t="s">
        <v>29</v>
      </c>
      <c r="J85" s="230" t="s">
        <v>289</v>
      </c>
      <c r="K85" s="215" t="s">
        <v>24</v>
      </c>
      <c r="L85" s="215"/>
      <c r="M85" s="215"/>
      <c r="N85" s="229" t="s">
        <v>290</v>
      </c>
      <c r="O85" s="230" t="s">
        <v>291</v>
      </c>
      <c r="P85" s="215" t="s">
        <v>27</v>
      </c>
      <c r="Q85" s="239">
        <v>45603</v>
      </c>
      <c r="R85" s="239">
        <v>45604</v>
      </c>
      <c r="S85" s="235" t="s">
        <v>28</v>
      </c>
    </row>
    <row r="86" spans="1:19">
      <c r="A86" s="249">
        <v>59</v>
      </c>
      <c r="B86" s="249"/>
      <c r="C86" s="249"/>
      <c r="D86" s="215" t="s">
        <v>292</v>
      </c>
      <c r="E86" s="215" t="s">
        <v>93</v>
      </c>
      <c r="F86" s="215"/>
      <c r="G86" s="215"/>
      <c r="H86" s="215">
        <v>11.05</v>
      </c>
      <c r="I86" s="215" t="s">
        <v>29</v>
      </c>
      <c r="J86" s="230" t="s">
        <v>293</v>
      </c>
      <c r="K86" s="215" t="s">
        <v>24</v>
      </c>
      <c r="L86" s="215"/>
      <c r="M86" s="215"/>
      <c r="N86" s="229" t="s">
        <v>294</v>
      </c>
      <c r="O86" s="230" t="s">
        <v>295</v>
      </c>
      <c r="P86" s="215" t="s">
        <v>27</v>
      </c>
      <c r="Q86" s="239">
        <v>45603</v>
      </c>
      <c r="R86" s="239">
        <v>45604</v>
      </c>
      <c r="S86" s="235" t="s">
        <v>28</v>
      </c>
    </row>
    <row r="87" spans="1:19">
      <c r="A87" s="215">
        <v>45</v>
      </c>
      <c r="B87" s="238"/>
      <c r="C87" s="238"/>
      <c r="D87" s="238" t="s">
        <v>296</v>
      </c>
      <c r="E87" s="238" t="s">
        <v>93</v>
      </c>
      <c r="F87" s="238"/>
      <c r="G87" s="238"/>
      <c r="H87" s="238">
        <v>11.07</v>
      </c>
      <c r="I87" s="238" t="s">
        <v>29</v>
      </c>
      <c r="J87" s="255" t="s">
        <v>297</v>
      </c>
      <c r="K87" s="238" t="s">
        <v>24</v>
      </c>
      <c r="L87" s="238"/>
      <c r="M87" s="215"/>
      <c r="N87" s="229" t="s">
        <v>298</v>
      </c>
      <c r="O87" s="230" t="s">
        <v>299</v>
      </c>
      <c r="P87" s="215" t="s">
        <v>27</v>
      </c>
      <c r="Q87" s="231"/>
      <c r="R87" s="239">
        <v>45603</v>
      </c>
      <c r="S87" s="235" t="s">
        <v>28</v>
      </c>
    </row>
    <row r="88" spans="1:19">
      <c r="A88" s="215">
        <v>46</v>
      </c>
      <c r="B88" s="215"/>
      <c r="C88" s="215"/>
      <c r="D88" s="215" t="s">
        <v>300</v>
      </c>
      <c r="E88" s="215" t="s">
        <v>93</v>
      </c>
      <c r="F88" s="215"/>
      <c r="G88" s="215"/>
      <c r="H88" s="215">
        <v>11.07</v>
      </c>
      <c r="I88" s="215" t="s">
        <v>29</v>
      </c>
      <c r="J88" s="230" t="s">
        <v>301</v>
      </c>
      <c r="K88" s="215" t="s">
        <v>24</v>
      </c>
      <c r="L88" s="215"/>
      <c r="M88" s="215"/>
      <c r="N88" s="229" t="s">
        <v>302</v>
      </c>
      <c r="O88" s="230" t="s">
        <v>303</v>
      </c>
      <c r="P88" s="215" t="s">
        <v>27</v>
      </c>
      <c r="Q88" s="239">
        <v>45604</v>
      </c>
      <c r="R88" s="231"/>
      <c r="S88" s="235" t="s">
        <v>28</v>
      </c>
    </row>
    <row r="89" ht="28.8" spans="1:19">
      <c r="A89" s="215">
        <v>64</v>
      </c>
      <c r="B89" s="215"/>
      <c r="C89" s="215"/>
      <c r="D89" s="215" t="s">
        <v>304</v>
      </c>
      <c r="E89" s="215" t="s">
        <v>93</v>
      </c>
      <c r="F89" s="215"/>
      <c r="G89" s="215"/>
      <c r="H89" s="215">
        <v>11.09</v>
      </c>
      <c r="I89" s="236" t="s">
        <v>29</v>
      </c>
      <c r="J89" s="230" t="s">
        <v>305</v>
      </c>
      <c r="K89" s="238" t="s">
        <v>24</v>
      </c>
      <c r="L89" s="215"/>
      <c r="M89" s="215"/>
      <c r="N89" s="229" t="s">
        <v>306</v>
      </c>
      <c r="O89" s="230" t="s">
        <v>307</v>
      </c>
      <c r="P89" s="215" t="s">
        <v>27</v>
      </c>
      <c r="Q89" s="239">
        <v>45607</v>
      </c>
      <c r="R89" s="231"/>
      <c r="S89" s="235" t="s">
        <v>28</v>
      </c>
    </row>
    <row r="90" spans="1:19">
      <c r="A90" s="215">
        <v>115</v>
      </c>
      <c r="B90" s="215"/>
      <c r="C90" s="215"/>
      <c r="D90" s="215" t="s">
        <v>288</v>
      </c>
      <c r="E90" s="215" t="s">
        <v>93</v>
      </c>
      <c r="F90" s="215"/>
      <c r="G90" s="215"/>
      <c r="H90" s="215">
        <v>12.3</v>
      </c>
      <c r="I90" s="215" t="s">
        <v>22</v>
      </c>
      <c r="J90" s="230" t="s">
        <v>308</v>
      </c>
      <c r="K90" s="215" t="s">
        <v>24</v>
      </c>
      <c r="L90" s="215"/>
      <c r="M90" s="215"/>
      <c r="N90" s="290"/>
      <c r="O90" s="233"/>
      <c r="P90" s="215" t="s">
        <v>27</v>
      </c>
      <c r="Q90" s="215"/>
      <c r="R90" s="231"/>
      <c r="S90" s="215" t="s">
        <v>58</v>
      </c>
    </row>
    <row r="91" spans="1:19">
      <c r="A91" s="215">
        <v>118</v>
      </c>
      <c r="B91" s="215"/>
      <c r="C91" s="215"/>
      <c r="D91" s="215" t="s">
        <v>284</v>
      </c>
      <c r="E91" s="215" t="s">
        <v>93</v>
      </c>
      <c r="F91" s="215"/>
      <c r="G91" s="215"/>
      <c r="H91" s="215">
        <v>12.3</v>
      </c>
      <c r="I91" s="215" t="s">
        <v>35</v>
      </c>
      <c r="J91" s="230" t="s">
        <v>297</v>
      </c>
      <c r="K91" s="215" t="s">
        <v>24</v>
      </c>
      <c r="L91" s="215"/>
      <c r="M91" s="215"/>
      <c r="N91" s="290"/>
      <c r="O91" s="233"/>
      <c r="P91" s="215" t="s">
        <v>27</v>
      </c>
      <c r="Q91" s="215"/>
      <c r="R91" s="231"/>
      <c r="S91" s="215" t="s">
        <v>58</v>
      </c>
    </row>
    <row r="92" spans="1:19">
      <c r="A92" s="221">
        <v>36</v>
      </c>
      <c r="B92" s="221" t="s">
        <v>309</v>
      </c>
      <c r="C92" s="221"/>
      <c r="D92" s="236" t="s">
        <v>310</v>
      </c>
      <c r="E92" s="236" t="s">
        <v>311</v>
      </c>
      <c r="F92" s="236"/>
      <c r="G92" s="236"/>
      <c r="H92" s="236">
        <v>10.29</v>
      </c>
      <c r="I92" s="246" t="s">
        <v>22</v>
      </c>
      <c r="J92" s="241" t="s">
        <v>312</v>
      </c>
      <c r="K92" s="215" t="s">
        <v>24</v>
      </c>
      <c r="L92" s="215"/>
      <c r="M92" s="215"/>
      <c r="N92" s="300" t="s">
        <v>313</v>
      </c>
      <c r="O92" s="233"/>
      <c r="P92" s="215" t="s">
        <v>27</v>
      </c>
      <c r="Q92" s="301"/>
      <c r="R92" s="231"/>
      <c r="S92" s="215" t="s">
        <v>53</v>
      </c>
    </row>
    <row r="93" ht="28.8" spans="1:19">
      <c r="A93" s="221">
        <v>37</v>
      </c>
      <c r="B93" s="221" t="s">
        <v>309</v>
      </c>
      <c r="C93" s="221"/>
      <c r="D93" s="236" t="s">
        <v>314</v>
      </c>
      <c r="E93" s="236" t="s">
        <v>311</v>
      </c>
      <c r="F93" s="236"/>
      <c r="G93" s="236" t="s">
        <v>315</v>
      </c>
      <c r="H93" s="262">
        <v>10.3</v>
      </c>
      <c r="I93" s="276" t="s">
        <v>22</v>
      </c>
      <c r="J93" s="241" t="s">
        <v>316</v>
      </c>
      <c r="K93" s="215" t="s">
        <v>24</v>
      </c>
      <c r="L93" s="215"/>
      <c r="M93" s="215"/>
      <c r="N93" s="230" t="s">
        <v>317</v>
      </c>
      <c r="O93" s="233"/>
      <c r="P93" s="215" t="s">
        <v>27</v>
      </c>
      <c r="Q93" s="231"/>
      <c r="R93" s="231"/>
      <c r="S93" s="215" t="s">
        <v>53</v>
      </c>
    </row>
    <row r="94" ht="34" customHeight="1" spans="1:19">
      <c r="A94" s="249">
        <v>56</v>
      </c>
      <c r="B94" s="249"/>
      <c r="C94" s="249"/>
      <c r="D94" s="215" t="s">
        <v>318</v>
      </c>
      <c r="E94" s="215" t="s">
        <v>311</v>
      </c>
      <c r="F94" s="215" t="s">
        <v>242</v>
      </c>
      <c r="G94" s="215"/>
      <c r="H94" s="215">
        <v>11.04</v>
      </c>
      <c r="I94" s="224" t="s">
        <v>53</v>
      </c>
      <c r="J94" s="230" t="s">
        <v>319</v>
      </c>
      <c r="K94" s="215" t="s">
        <v>24</v>
      </c>
      <c r="L94" s="215"/>
      <c r="M94" s="215"/>
      <c r="N94" s="230" t="s">
        <v>320</v>
      </c>
      <c r="O94" s="230" t="s">
        <v>321</v>
      </c>
      <c r="P94" s="215" t="s">
        <v>27</v>
      </c>
      <c r="Q94" s="234">
        <v>45601</v>
      </c>
      <c r="R94" s="231"/>
      <c r="S94" s="215" t="s">
        <v>53</v>
      </c>
    </row>
    <row r="95" ht="28.8" spans="1:19">
      <c r="A95" s="280">
        <v>57</v>
      </c>
      <c r="B95" s="280"/>
      <c r="C95" s="280"/>
      <c r="D95" s="215"/>
      <c r="E95" s="215"/>
      <c r="F95" s="215"/>
      <c r="G95" s="281"/>
      <c r="H95" s="215"/>
      <c r="I95" s="302" t="s">
        <v>22</v>
      </c>
      <c r="J95" s="283" t="s">
        <v>322</v>
      </c>
      <c r="K95" s="281" t="s">
        <v>24</v>
      </c>
      <c r="L95" s="281"/>
      <c r="M95" s="281"/>
      <c r="N95" s="287" t="s">
        <v>323</v>
      </c>
      <c r="O95" s="283" t="s">
        <v>324</v>
      </c>
      <c r="P95" s="281" t="s">
        <v>27</v>
      </c>
      <c r="Q95" s="303">
        <v>45606</v>
      </c>
      <c r="R95" s="282"/>
      <c r="S95" s="235" t="s">
        <v>47</v>
      </c>
    </row>
    <row r="96" spans="1:19">
      <c r="A96" s="215">
        <v>41</v>
      </c>
      <c r="B96" s="215"/>
      <c r="C96" s="215"/>
      <c r="D96" s="215" t="s">
        <v>325</v>
      </c>
      <c r="E96" s="215" t="s">
        <v>311</v>
      </c>
      <c r="F96" s="231"/>
      <c r="G96" s="215">
        <v>11.06</v>
      </c>
      <c r="H96" s="215">
        <v>11.06</v>
      </c>
      <c r="I96" s="215" t="s">
        <v>29</v>
      </c>
      <c r="J96" s="230" t="s">
        <v>326</v>
      </c>
      <c r="K96" s="215" t="s">
        <v>24</v>
      </c>
      <c r="L96" s="215"/>
      <c r="M96" s="215"/>
      <c r="N96" s="229" t="s">
        <v>327</v>
      </c>
      <c r="O96" s="304" t="s">
        <v>328</v>
      </c>
      <c r="P96" s="215" t="s">
        <v>27</v>
      </c>
      <c r="Q96" s="234">
        <v>45611</v>
      </c>
      <c r="R96" s="296">
        <v>11.14</v>
      </c>
      <c r="S96" s="235" t="s">
        <v>28</v>
      </c>
    </row>
    <row r="97" ht="28.8" spans="1:19">
      <c r="A97" s="215">
        <v>82</v>
      </c>
      <c r="B97" s="215"/>
      <c r="C97" s="215"/>
      <c r="D97" s="215" t="s">
        <v>329</v>
      </c>
      <c r="E97" s="215" t="s">
        <v>311</v>
      </c>
      <c r="F97" s="215"/>
      <c r="G97" s="215"/>
      <c r="H97" s="215">
        <v>11.15</v>
      </c>
      <c r="I97" s="215" t="s">
        <v>29</v>
      </c>
      <c r="J97" s="230" t="s">
        <v>330</v>
      </c>
      <c r="K97" s="215" t="s">
        <v>24</v>
      </c>
      <c r="L97" s="215"/>
      <c r="M97" s="215"/>
      <c r="N97" s="229" t="s">
        <v>331</v>
      </c>
      <c r="O97" s="230" t="s">
        <v>332</v>
      </c>
      <c r="P97" s="215" t="s">
        <v>27</v>
      </c>
      <c r="Q97" s="267">
        <v>45633</v>
      </c>
      <c r="R97" s="231"/>
      <c r="S97" s="232" t="s">
        <v>201</v>
      </c>
    </row>
    <row r="98" ht="28.8" spans="1:19">
      <c r="A98" s="215">
        <v>86</v>
      </c>
      <c r="B98" s="215"/>
      <c r="C98" s="215"/>
      <c r="D98" s="215" t="s">
        <v>325</v>
      </c>
      <c r="E98" s="215" t="s">
        <v>311</v>
      </c>
      <c r="F98" s="215"/>
      <c r="G98" s="215"/>
      <c r="H98" s="215">
        <v>11.18</v>
      </c>
      <c r="I98" s="215" t="s">
        <v>35</v>
      </c>
      <c r="J98" s="230" t="s">
        <v>333</v>
      </c>
      <c r="K98" s="215" t="s">
        <v>24</v>
      </c>
      <c r="L98" s="215"/>
      <c r="M98" s="215"/>
      <c r="N98" s="230" t="s">
        <v>334</v>
      </c>
      <c r="O98" s="230" t="s">
        <v>335</v>
      </c>
      <c r="P98" s="215" t="s">
        <v>27</v>
      </c>
      <c r="Q98" s="267">
        <v>45629</v>
      </c>
      <c r="R98" s="267">
        <v>45629</v>
      </c>
      <c r="S98" s="268" t="s">
        <v>28</v>
      </c>
    </row>
    <row r="99" ht="28.8" spans="1:19">
      <c r="A99" s="215">
        <v>95</v>
      </c>
      <c r="B99" s="215"/>
      <c r="C99" s="215"/>
      <c r="D99" s="215" t="s">
        <v>336</v>
      </c>
      <c r="E99" s="215" t="s">
        <v>311</v>
      </c>
      <c r="F99" s="215"/>
      <c r="G99" s="215"/>
      <c r="H99" s="215">
        <v>11.22</v>
      </c>
      <c r="I99" s="215" t="s">
        <v>35</v>
      </c>
      <c r="J99" s="230" t="s">
        <v>337</v>
      </c>
      <c r="K99" s="215" t="s">
        <v>24</v>
      </c>
      <c r="L99" s="215"/>
      <c r="M99" s="215"/>
      <c r="N99" s="229"/>
      <c r="O99" s="233"/>
      <c r="P99" s="215" t="s">
        <v>27</v>
      </c>
      <c r="Q99" s="215"/>
      <c r="R99" s="231"/>
      <c r="S99" s="215" t="s">
        <v>161</v>
      </c>
    </row>
    <row r="100" ht="28.8" spans="1:19">
      <c r="A100" s="224">
        <v>100</v>
      </c>
      <c r="B100" s="224"/>
      <c r="C100" s="224"/>
      <c r="D100" s="224" t="s">
        <v>336</v>
      </c>
      <c r="E100" s="224" t="s">
        <v>311</v>
      </c>
      <c r="F100" s="224"/>
      <c r="G100" s="224"/>
      <c r="H100" s="224">
        <v>11.23</v>
      </c>
      <c r="I100" s="224" t="s">
        <v>22</v>
      </c>
      <c r="J100" s="226" t="s">
        <v>338</v>
      </c>
      <c r="K100" s="224" t="s">
        <v>24</v>
      </c>
      <c r="L100" s="224"/>
      <c r="M100" s="224"/>
      <c r="N100" s="230" t="s">
        <v>339</v>
      </c>
      <c r="O100" s="230" t="s">
        <v>335</v>
      </c>
      <c r="P100" s="224" t="s">
        <v>27</v>
      </c>
      <c r="Q100" s="224"/>
      <c r="R100" s="227"/>
      <c r="S100" s="224" t="s">
        <v>161</v>
      </c>
    </row>
    <row r="101" spans="1:19">
      <c r="A101" s="215">
        <v>102</v>
      </c>
      <c r="B101" s="215"/>
      <c r="C101" s="215"/>
      <c r="D101" s="215" t="s">
        <v>340</v>
      </c>
      <c r="E101" s="215" t="s">
        <v>311</v>
      </c>
      <c r="F101" s="215"/>
      <c r="G101" s="215"/>
      <c r="H101" s="215">
        <v>11.25</v>
      </c>
      <c r="I101" s="215" t="s">
        <v>29</v>
      </c>
      <c r="J101" s="230" t="s">
        <v>341</v>
      </c>
      <c r="K101" s="215" t="s">
        <v>24</v>
      </c>
      <c r="L101" s="215"/>
      <c r="M101" s="215"/>
      <c r="N101" s="229"/>
      <c r="O101" s="233"/>
      <c r="P101" s="215" t="s">
        <v>27</v>
      </c>
      <c r="Q101" s="215"/>
      <c r="R101" s="267">
        <v>45629</v>
      </c>
      <c r="S101" s="297" t="s">
        <v>28</v>
      </c>
    </row>
    <row r="102" spans="1:19">
      <c r="A102" s="215">
        <v>125</v>
      </c>
      <c r="B102" s="215"/>
      <c r="C102" s="215"/>
      <c r="D102" s="215" t="s">
        <v>342</v>
      </c>
      <c r="E102" s="215" t="s">
        <v>311</v>
      </c>
      <c r="F102" s="215"/>
      <c r="G102" s="215"/>
      <c r="H102" s="215">
        <v>12.4</v>
      </c>
      <c r="I102" s="215" t="s">
        <v>22</v>
      </c>
      <c r="J102" s="230" t="s">
        <v>343</v>
      </c>
      <c r="K102" s="215" t="s">
        <v>24</v>
      </c>
      <c r="L102" s="215"/>
      <c r="M102" s="215"/>
      <c r="N102" s="229"/>
      <c r="O102" s="261"/>
      <c r="P102" s="215" t="s">
        <v>27</v>
      </c>
      <c r="Q102" s="215"/>
      <c r="R102" s="231"/>
      <c r="S102" s="215" t="s">
        <v>58</v>
      </c>
    </row>
    <row r="104" ht="43.2" spans="1:19">
      <c r="A104" s="221">
        <v>44</v>
      </c>
      <c r="B104" s="305" t="s">
        <v>344</v>
      </c>
      <c r="C104" s="305" t="s">
        <v>41</v>
      </c>
      <c r="D104" s="278" t="s">
        <v>345</v>
      </c>
      <c r="E104" s="215" t="s">
        <v>93</v>
      </c>
      <c r="F104" s="278"/>
      <c r="G104" s="278"/>
      <c r="H104" s="244">
        <v>10.31</v>
      </c>
      <c r="I104" s="306" t="s">
        <v>22</v>
      </c>
      <c r="J104" s="307" t="s">
        <v>346</v>
      </c>
      <c r="K104" s="279" t="s">
        <v>24</v>
      </c>
      <c r="L104" s="279"/>
      <c r="M104" s="279"/>
      <c r="N104" s="308" t="s">
        <v>347</v>
      </c>
      <c r="O104" s="309" t="s">
        <v>348</v>
      </c>
      <c r="P104" s="279" t="s">
        <v>27</v>
      </c>
      <c r="Q104" s="310">
        <v>45603</v>
      </c>
      <c r="R104" s="311"/>
      <c r="S104" s="299" t="s">
        <v>28</v>
      </c>
    </row>
    <row r="105" ht="28.8" spans="1:19">
      <c r="A105" s="215">
        <v>46</v>
      </c>
      <c r="B105" s="224" t="s">
        <v>349</v>
      </c>
      <c r="C105" s="224" t="s">
        <v>41</v>
      </c>
      <c r="D105" s="221" t="s">
        <v>350</v>
      </c>
      <c r="E105" s="224" t="s">
        <v>93</v>
      </c>
      <c r="F105" s="224"/>
      <c r="G105" s="245"/>
      <c r="H105" s="221">
        <v>10.31</v>
      </c>
      <c r="I105" s="222" t="s">
        <v>22</v>
      </c>
      <c r="J105" s="223" t="s">
        <v>351</v>
      </c>
      <c r="K105" s="224" t="s">
        <v>24</v>
      </c>
      <c r="L105" s="224"/>
      <c r="M105" s="224"/>
      <c r="N105" s="225" t="s">
        <v>352</v>
      </c>
      <c r="O105" s="230" t="s">
        <v>353</v>
      </c>
      <c r="P105" s="279" t="s">
        <v>27</v>
      </c>
      <c r="Q105" s="239">
        <v>45605</v>
      </c>
      <c r="R105" s="231"/>
      <c r="S105" s="299" t="s">
        <v>28</v>
      </c>
    </row>
    <row r="106" ht="28.8" spans="1:19">
      <c r="A106" s="264">
        <v>47</v>
      </c>
      <c r="B106" s="264" t="s">
        <v>354</v>
      </c>
      <c r="C106" s="264" t="s">
        <v>41</v>
      </c>
      <c r="D106" s="221" t="s">
        <v>355</v>
      </c>
      <c r="E106" s="224" t="s">
        <v>93</v>
      </c>
      <c r="F106" s="224"/>
      <c r="G106" s="245"/>
      <c r="H106" s="221">
        <v>10.31</v>
      </c>
      <c r="I106" s="222" t="s">
        <v>22</v>
      </c>
      <c r="J106" s="223" t="s">
        <v>351</v>
      </c>
      <c r="K106" s="224" t="s">
        <v>24</v>
      </c>
      <c r="L106" s="224"/>
      <c r="M106" s="224"/>
      <c r="N106" s="225" t="s">
        <v>352</v>
      </c>
      <c r="O106" s="266" t="s">
        <v>353</v>
      </c>
      <c r="P106" s="279" t="s">
        <v>27</v>
      </c>
      <c r="Q106" s="263">
        <v>45605</v>
      </c>
      <c r="R106" s="227"/>
      <c r="S106" s="299" t="s">
        <v>28</v>
      </c>
    </row>
    <row r="107" ht="28.8" spans="1:19">
      <c r="A107" s="215">
        <v>52</v>
      </c>
      <c r="B107" s="215" t="s">
        <v>356</v>
      </c>
      <c r="C107" s="215" t="s">
        <v>357</v>
      </c>
      <c r="D107" s="236" t="s">
        <v>358</v>
      </c>
      <c r="E107" s="215" t="s">
        <v>359</v>
      </c>
      <c r="F107" s="215"/>
      <c r="G107" s="215"/>
      <c r="H107" s="215">
        <v>11.1</v>
      </c>
      <c r="I107" s="215" t="s">
        <v>22</v>
      </c>
      <c r="J107" s="230" t="s">
        <v>360</v>
      </c>
      <c r="K107" s="215" t="s">
        <v>24</v>
      </c>
      <c r="L107" s="215"/>
      <c r="M107" s="215"/>
      <c r="N107" s="229" t="s">
        <v>361</v>
      </c>
      <c r="O107" s="230" t="s">
        <v>362</v>
      </c>
      <c r="P107" s="215" t="s">
        <v>27</v>
      </c>
      <c r="Q107" s="239">
        <v>45601</v>
      </c>
      <c r="R107" s="231"/>
      <c r="S107" s="235" t="s">
        <v>28</v>
      </c>
    </row>
    <row r="108" ht="28.8" spans="1:19">
      <c r="A108" s="215">
        <v>72</v>
      </c>
      <c r="B108" s="215"/>
      <c r="C108" s="215"/>
      <c r="D108" s="215" t="s">
        <v>363</v>
      </c>
      <c r="E108" s="215" t="s">
        <v>93</v>
      </c>
      <c r="F108" s="215"/>
      <c r="G108" s="215"/>
      <c r="H108" s="215">
        <v>11.13</v>
      </c>
      <c r="I108" s="215" t="s">
        <v>22</v>
      </c>
      <c r="J108" s="230" t="s">
        <v>364</v>
      </c>
      <c r="K108" s="215" t="s">
        <v>24</v>
      </c>
      <c r="L108" s="215"/>
      <c r="M108" s="215"/>
      <c r="N108" s="229" t="s">
        <v>365</v>
      </c>
      <c r="O108" s="230" t="s">
        <v>366</v>
      </c>
      <c r="P108" s="219" t="s">
        <v>148</v>
      </c>
      <c r="Q108" s="215"/>
      <c r="R108" s="231"/>
      <c r="S108" s="215" t="s">
        <v>53</v>
      </c>
    </row>
    <row r="109" ht="28.8" spans="1:19">
      <c r="A109" s="249">
        <v>44</v>
      </c>
      <c r="B109" s="249" t="s">
        <v>367</v>
      </c>
      <c r="C109" s="249" t="s">
        <v>102</v>
      </c>
      <c r="D109" s="215" t="s">
        <v>368</v>
      </c>
      <c r="E109" s="215" t="s">
        <v>20</v>
      </c>
      <c r="F109" s="215"/>
      <c r="G109" s="215"/>
      <c r="H109" s="215">
        <v>11.07</v>
      </c>
      <c r="I109" s="215" t="s">
        <v>35</v>
      </c>
      <c r="J109" s="230" t="s">
        <v>369</v>
      </c>
      <c r="K109" s="215" t="s">
        <v>24</v>
      </c>
      <c r="L109" s="215"/>
      <c r="M109" s="214"/>
      <c r="N109" s="229"/>
      <c r="O109" s="230" t="s">
        <v>370</v>
      </c>
      <c r="P109" s="215" t="s">
        <v>27</v>
      </c>
      <c r="Q109" s="231"/>
      <c r="R109" s="239">
        <v>45604</v>
      </c>
      <c r="S109" s="235" t="s">
        <v>28</v>
      </c>
    </row>
    <row r="110" spans="1:19">
      <c r="A110" s="215">
        <v>47</v>
      </c>
      <c r="B110" s="215" t="s">
        <v>371</v>
      </c>
      <c r="C110" s="215"/>
      <c r="D110" s="215" t="s">
        <v>371</v>
      </c>
      <c r="E110" s="215" t="s">
        <v>311</v>
      </c>
      <c r="F110" s="215"/>
      <c r="G110" s="215"/>
      <c r="H110" s="215">
        <v>11.07</v>
      </c>
      <c r="I110" s="215" t="s">
        <v>35</v>
      </c>
      <c r="J110" s="230" t="s">
        <v>372</v>
      </c>
      <c r="K110" s="215" t="s">
        <v>24</v>
      </c>
      <c r="L110" s="215"/>
      <c r="M110" s="215"/>
      <c r="N110" s="229"/>
      <c r="O110" s="230" t="s">
        <v>373</v>
      </c>
      <c r="P110" s="215" t="s">
        <v>27</v>
      </c>
      <c r="Q110" s="231"/>
      <c r="R110" s="231"/>
      <c r="S110" s="235" t="s">
        <v>28</v>
      </c>
    </row>
    <row r="111" spans="1:19">
      <c r="A111" s="215">
        <v>67</v>
      </c>
      <c r="B111" s="215"/>
      <c r="C111" s="215"/>
      <c r="D111" s="215" t="s">
        <v>371</v>
      </c>
      <c r="E111" s="215" t="s">
        <v>311</v>
      </c>
      <c r="F111" s="215"/>
      <c r="G111" s="215"/>
      <c r="H111" s="215">
        <v>11.11</v>
      </c>
      <c r="I111" s="215" t="s">
        <v>29</v>
      </c>
      <c r="J111" s="230" t="s">
        <v>374</v>
      </c>
      <c r="K111" s="215" t="s">
        <v>24</v>
      </c>
      <c r="L111" s="215"/>
      <c r="M111" s="215"/>
      <c r="N111" s="229" t="s">
        <v>375</v>
      </c>
      <c r="O111" s="233"/>
      <c r="P111" s="215" t="s">
        <v>27</v>
      </c>
      <c r="Q111" s="215"/>
      <c r="R111" s="296">
        <v>11.14</v>
      </c>
      <c r="S111" s="235" t="s">
        <v>28</v>
      </c>
    </row>
    <row r="112" spans="1:19">
      <c r="A112" s="215">
        <v>117</v>
      </c>
      <c r="B112" s="215"/>
      <c r="C112" s="215"/>
      <c r="D112" s="215" t="s">
        <v>371</v>
      </c>
      <c r="E112" s="215" t="s">
        <v>311</v>
      </c>
      <c r="F112" s="215"/>
      <c r="G112" s="215"/>
      <c r="H112" s="215">
        <v>12.3</v>
      </c>
      <c r="I112" s="215" t="s">
        <v>22</v>
      </c>
      <c r="J112" s="230" t="s">
        <v>376</v>
      </c>
      <c r="K112" s="215" t="s">
        <v>24</v>
      </c>
      <c r="L112" s="215"/>
      <c r="M112" s="215"/>
      <c r="N112" s="290" t="s">
        <v>377</v>
      </c>
      <c r="O112" s="233"/>
      <c r="P112" s="215" t="s">
        <v>27</v>
      </c>
      <c r="Q112" s="215"/>
      <c r="R112" s="231"/>
      <c r="S112" s="215" t="s">
        <v>58</v>
      </c>
    </row>
    <row r="113" ht="100.8" spans="1:19">
      <c r="A113" s="215">
        <v>110</v>
      </c>
      <c r="B113" s="215"/>
      <c r="C113" s="215"/>
      <c r="D113" s="215" t="s">
        <v>378</v>
      </c>
      <c r="E113" s="215" t="s">
        <v>311</v>
      </c>
      <c r="F113" s="215"/>
      <c r="G113" s="215"/>
      <c r="H113" s="215">
        <v>11.28</v>
      </c>
      <c r="I113" s="215" t="s">
        <v>35</v>
      </c>
      <c r="J113" s="230" t="s">
        <v>379</v>
      </c>
      <c r="K113" s="215" t="s">
        <v>24</v>
      </c>
      <c r="L113" s="215"/>
      <c r="M113" s="215"/>
      <c r="N113" s="230" t="s">
        <v>380</v>
      </c>
      <c r="O113" s="230" t="s">
        <v>381</v>
      </c>
      <c r="P113" s="264" t="s">
        <v>27</v>
      </c>
      <c r="Q113" s="312">
        <v>45631</v>
      </c>
      <c r="R113" s="231"/>
      <c r="S113" s="224" t="s">
        <v>58</v>
      </c>
    </row>
    <row r="114" ht="28.8" spans="1:19">
      <c r="A114" s="215">
        <v>48</v>
      </c>
      <c r="B114" s="215" t="s">
        <v>382</v>
      </c>
      <c r="C114" s="215"/>
      <c r="D114" s="215" t="s">
        <v>383</v>
      </c>
      <c r="E114" s="215" t="s">
        <v>384</v>
      </c>
      <c r="F114" s="231"/>
      <c r="G114" s="215">
        <v>11.06</v>
      </c>
      <c r="H114" s="278">
        <v>11.02</v>
      </c>
      <c r="I114" s="215" t="s">
        <v>35</v>
      </c>
      <c r="J114" s="265" t="s">
        <v>385</v>
      </c>
      <c r="K114" s="215" t="s">
        <v>24</v>
      </c>
      <c r="L114" s="313" t="s">
        <v>386</v>
      </c>
      <c r="M114" s="313" t="s">
        <v>387</v>
      </c>
      <c r="N114" s="313" t="s">
        <v>386</v>
      </c>
      <c r="O114" s="314" t="s">
        <v>387</v>
      </c>
      <c r="P114" s="232"/>
      <c r="Q114" s="315">
        <v>45608</v>
      </c>
      <c r="R114" s="231"/>
      <c r="S114" s="235" t="s">
        <v>28</v>
      </c>
    </row>
    <row r="115" spans="1:19">
      <c r="A115" s="215">
        <v>76</v>
      </c>
      <c r="B115" s="215"/>
      <c r="C115" s="215"/>
      <c r="D115" s="215" t="s">
        <v>388</v>
      </c>
      <c r="E115" s="215" t="s">
        <v>389</v>
      </c>
      <c r="F115" s="215"/>
      <c r="G115" s="215"/>
      <c r="H115" s="215">
        <v>11.14</v>
      </c>
      <c r="I115" s="215" t="s">
        <v>22</v>
      </c>
      <c r="J115" s="230" t="s">
        <v>390</v>
      </c>
      <c r="K115" s="215" t="s">
        <v>24</v>
      </c>
      <c r="L115" s="215" t="s">
        <v>24</v>
      </c>
      <c r="M115" s="215" t="s">
        <v>24</v>
      </c>
      <c r="N115" s="316"/>
      <c r="O115" s="317"/>
      <c r="P115" s="316" t="s">
        <v>148</v>
      </c>
      <c r="Q115" s="316"/>
      <c r="R115" s="231"/>
      <c r="S115" s="215" t="s">
        <v>53</v>
      </c>
    </row>
    <row r="116" spans="1:19">
      <c r="A116" s="215">
        <v>49</v>
      </c>
      <c r="B116" s="215" t="s">
        <v>391</v>
      </c>
      <c r="C116" s="215" t="s">
        <v>392</v>
      </c>
      <c r="D116" s="215" t="s">
        <v>393</v>
      </c>
      <c r="E116" s="215" t="s">
        <v>384</v>
      </c>
      <c r="F116" s="231"/>
      <c r="G116" s="215">
        <v>11.01</v>
      </c>
      <c r="H116" s="278">
        <v>11.01</v>
      </c>
      <c r="I116" s="215" t="s">
        <v>35</v>
      </c>
      <c r="J116" s="265" t="s">
        <v>394</v>
      </c>
      <c r="K116" s="215" t="s">
        <v>24</v>
      </c>
      <c r="L116" s="215"/>
      <c r="M116" s="215"/>
      <c r="N116" s="318" t="s">
        <v>395</v>
      </c>
      <c r="O116" s="319" t="s">
        <v>396</v>
      </c>
      <c r="P116" s="320" t="s">
        <v>27</v>
      </c>
      <c r="Q116" s="321">
        <v>45608</v>
      </c>
      <c r="R116" s="296">
        <v>11.12</v>
      </c>
      <c r="S116" s="235" t="s">
        <v>28</v>
      </c>
    </row>
    <row r="117" ht="17" customHeight="1" spans="1:19">
      <c r="A117" s="215">
        <v>50</v>
      </c>
      <c r="B117" s="224"/>
      <c r="C117" s="224"/>
      <c r="D117" s="221" t="s">
        <v>393</v>
      </c>
      <c r="E117" s="221" t="s">
        <v>389</v>
      </c>
      <c r="F117" s="215"/>
      <c r="G117" s="215"/>
      <c r="H117" s="322">
        <v>10.31</v>
      </c>
      <c r="I117" s="246" t="s">
        <v>65</v>
      </c>
      <c r="J117" s="247" t="s">
        <v>397</v>
      </c>
      <c r="K117" s="215" t="s">
        <v>24</v>
      </c>
      <c r="L117" s="215"/>
      <c r="M117" s="215"/>
      <c r="N117" s="230" t="s">
        <v>10</v>
      </c>
      <c r="O117" s="230" t="s">
        <v>398</v>
      </c>
      <c r="P117" s="215" t="s">
        <v>27</v>
      </c>
      <c r="Q117" s="215"/>
      <c r="R117" s="278"/>
      <c r="S117" s="235" t="s">
        <v>47</v>
      </c>
    </row>
    <row r="118" spans="1:19">
      <c r="A118" s="215">
        <v>51</v>
      </c>
      <c r="B118" s="224"/>
      <c r="C118" s="224"/>
      <c r="D118" s="221"/>
      <c r="E118" s="221"/>
      <c r="F118" s="215"/>
      <c r="G118" s="215"/>
      <c r="H118" s="322"/>
      <c r="I118" s="246" t="s">
        <v>29</v>
      </c>
      <c r="J118" s="247" t="s">
        <v>399</v>
      </c>
      <c r="K118" s="246" t="s">
        <v>24</v>
      </c>
      <c r="L118" s="215"/>
      <c r="M118" s="215"/>
      <c r="N118" s="323" t="s">
        <v>400</v>
      </c>
      <c r="O118" s="324" t="s">
        <v>401</v>
      </c>
      <c r="P118" s="232" t="s">
        <v>27</v>
      </c>
      <c r="Q118" s="315">
        <v>45598</v>
      </c>
      <c r="R118" s="325"/>
      <c r="S118" s="235" t="s">
        <v>28</v>
      </c>
    </row>
    <row r="119" spans="1:19">
      <c r="A119" s="215">
        <v>52</v>
      </c>
      <c r="B119" s="215"/>
      <c r="C119" s="215"/>
      <c r="D119" s="236" t="s">
        <v>393</v>
      </c>
      <c r="E119" s="236" t="s">
        <v>389</v>
      </c>
      <c r="F119" s="215"/>
      <c r="G119" s="215"/>
      <c r="H119" s="326">
        <v>10.15</v>
      </c>
      <c r="I119" s="246" t="s">
        <v>35</v>
      </c>
      <c r="J119" s="247" t="s">
        <v>402</v>
      </c>
      <c r="K119" s="215" t="s">
        <v>24</v>
      </c>
      <c r="L119" s="215"/>
      <c r="M119" s="318" t="s">
        <v>403</v>
      </c>
      <c r="N119" s="327"/>
      <c r="O119" s="319" t="s">
        <v>404</v>
      </c>
      <c r="P119" s="321" t="s">
        <v>405</v>
      </c>
      <c r="Q119" s="237"/>
      <c r="R119" s="237"/>
      <c r="S119" s="215" t="s">
        <v>406</v>
      </c>
    </row>
    <row r="120" ht="17" customHeight="1" spans="1:19">
      <c r="A120" s="215">
        <v>70</v>
      </c>
      <c r="B120" s="215"/>
      <c r="C120" s="215"/>
      <c r="D120" s="215" t="s">
        <v>393</v>
      </c>
      <c r="E120" s="215" t="s">
        <v>389</v>
      </c>
      <c r="F120" s="215"/>
      <c r="G120" s="215"/>
      <c r="H120" s="215">
        <v>11.13</v>
      </c>
      <c r="I120" s="215" t="s">
        <v>22</v>
      </c>
      <c r="J120" s="230" t="s">
        <v>407</v>
      </c>
      <c r="K120" s="215" t="s">
        <v>24</v>
      </c>
      <c r="L120" s="215"/>
      <c r="M120" s="215"/>
      <c r="N120" s="328"/>
      <c r="O120" s="329" t="s">
        <v>408</v>
      </c>
      <c r="P120" s="269" t="s">
        <v>27</v>
      </c>
      <c r="Q120" s="330">
        <v>45614</v>
      </c>
      <c r="R120" s="231"/>
      <c r="S120" s="235" t="s">
        <v>47</v>
      </c>
    </row>
    <row r="121" spans="1:19">
      <c r="A121" s="215">
        <v>71</v>
      </c>
      <c r="B121" s="215"/>
      <c r="C121" s="215"/>
      <c r="D121" s="215"/>
      <c r="E121" s="215"/>
      <c r="F121" s="215"/>
      <c r="G121" s="215"/>
      <c r="H121" s="215">
        <v>11.13</v>
      </c>
      <c r="I121" s="215" t="s">
        <v>22</v>
      </c>
      <c r="J121" s="230" t="s">
        <v>409</v>
      </c>
      <c r="K121" s="215" t="s">
        <v>24</v>
      </c>
      <c r="L121" s="215"/>
      <c r="M121" s="215"/>
      <c r="N121" s="328" t="s">
        <v>410</v>
      </c>
      <c r="O121" s="329" t="s">
        <v>411</v>
      </c>
      <c r="P121" s="269" t="s">
        <v>27</v>
      </c>
      <c r="Q121" s="330">
        <v>45615</v>
      </c>
      <c r="R121" s="231"/>
      <c r="S121" s="268" t="s">
        <v>53</v>
      </c>
    </row>
    <row r="122" spans="1:19">
      <c r="A122" s="215">
        <v>71</v>
      </c>
      <c r="B122" s="215"/>
      <c r="C122" s="215" t="s">
        <v>41</v>
      </c>
      <c r="D122" s="215" t="s">
        <v>345</v>
      </c>
      <c r="E122" s="215"/>
      <c r="F122" s="215"/>
      <c r="G122" s="215"/>
      <c r="H122" s="215">
        <v>11.13</v>
      </c>
      <c r="I122" s="215" t="s">
        <v>35</v>
      </c>
      <c r="J122" s="230" t="s">
        <v>412</v>
      </c>
      <c r="K122" s="215" t="s">
        <v>24</v>
      </c>
      <c r="L122" s="215"/>
      <c r="M122" s="215"/>
      <c r="N122" s="328" t="s">
        <v>413</v>
      </c>
      <c r="O122" s="329" t="s">
        <v>414</v>
      </c>
      <c r="P122" s="269" t="s">
        <v>27</v>
      </c>
      <c r="Q122" s="330">
        <v>45615</v>
      </c>
      <c r="R122" s="239">
        <v>45615</v>
      </c>
      <c r="S122" s="235" t="s">
        <v>28</v>
      </c>
    </row>
    <row r="123" spans="1:19">
      <c r="A123" s="215">
        <v>81</v>
      </c>
      <c r="B123" s="215"/>
      <c r="C123" s="215"/>
      <c r="D123" s="215" t="s">
        <v>345</v>
      </c>
      <c r="E123" s="215" t="s">
        <v>389</v>
      </c>
      <c r="F123" s="215"/>
      <c r="G123" s="215"/>
      <c r="H123" s="215">
        <v>11.15</v>
      </c>
      <c r="I123" s="215" t="s">
        <v>29</v>
      </c>
      <c r="J123" s="230" t="s">
        <v>415</v>
      </c>
      <c r="K123" s="215" t="s">
        <v>24</v>
      </c>
      <c r="L123" s="215"/>
      <c r="M123" s="215"/>
      <c r="N123" s="229"/>
      <c r="O123" s="230" t="s">
        <v>416</v>
      </c>
      <c r="P123" s="316" t="s">
        <v>148</v>
      </c>
      <c r="Q123" s="215"/>
      <c r="R123" s="231"/>
      <c r="S123" s="215" t="s">
        <v>53</v>
      </c>
    </row>
    <row r="124" spans="1:19">
      <c r="A124" s="215">
        <v>79</v>
      </c>
      <c r="B124" s="215"/>
      <c r="C124" s="215" t="s">
        <v>392</v>
      </c>
      <c r="D124" s="215" t="s">
        <v>393</v>
      </c>
      <c r="E124" s="215" t="s">
        <v>389</v>
      </c>
      <c r="F124" s="215"/>
      <c r="G124" s="215"/>
      <c r="H124" s="215">
        <v>11.14</v>
      </c>
      <c r="I124" s="215" t="s">
        <v>22</v>
      </c>
      <c r="J124" s="230" t="s">
        <v>417</v>
      </c>
      <c r="K124" s="215" t="s">
        <v>24</v>
      </c>
      <c r="L124" s="215"/>
      <c r="M124" s="215"/>
      <c r="N124" s="328"/>
      <c r="O124" s="329" t="s">
        <v>408</v>
      </c>
      <c r="P124" s="269" t="s">
        <v>27</v>
      </c>
      <c r="Q124" s="330">
        <v>45614</v>
      </c>
      <c r="R124" s="239">
        <v>45621</v>
      </c>
      <c r="S124" s="235" t="s">
        <v>28</v>
      </c>
    </row>
    <row r="125" spans="1:19">
      <c r="A125" s="224">
        <v>105</v>
      </c>
      <c r="B125" s="224"/>
      <c r="C125" s="224"/>
      <c r="D125" s="224" t="s">
        <v>393</v>
      </c>
      <c r="E125" s="224" t="s">
        <v>389</v>
      </c>
      <c r="F125" s="224"/>
      <c r="G125" s="224"/>
      <c r="H125" s="224">
        <v>11.26</v>
      </c>
      <c r="I125" s="224" t="s">
        <v>22</v>
      </c>
      <c r="J125" s="226" t="s">
        <v>418</v>
      </c>
      <c r="K125" s="224" t="s">
        <v>24</v>
      </c>
      <c r="L125" s="224"/>
      <c r="M125" s="224"/>
      <c r="N125" s="225" t="s">
        <v>419</v>
      </c>
      <c r="O125" s="226" t="s">
        <v>420</v>
      </c>
      <c r="P125" s="264" t="s">
        <v>27</v>
      </c>
      <c r="Q125" s="270">
        <v>45630</v>
      </c>
      <c r="R125" s="231"/>
      <c r="S125" s="215" t="s">
        <v>58</v>
      </c>
    </row>
    <row r="126" ht="28.8" spans="1:19">
      <c r="A126" s="215">
        <v>122</v>
      </c>
      <c r="B126" s="215"/>
      <c r="C126" s="215"/>
      <c r="D126" s="215" t="s">
        <v>421</v>
      </c>
      <c r="E126" s="215" t="s">
        <v>389</v>
      </c>
      <c r="F126" s="215"/>
      <c r="G126" s="215"/>
      <c r="H126" s="215">
        <v>12.4</v>
      </c>
      <c r="I126" s="215" t="s">
        <v>22</v>
      </c>
      <c r="J126" s="230" t="s">
        <v>422</v>
      </c>
      <c r="K126" s="215" t="s">
        <v>24</v>
      </c>
      <c r="L126" s="215"/>
      <c r="M126" s="215"/>
      <c r="N126" s="229"/>
      <c r="O126" s="261"/>
      <c r="P126" s="215" t="s">
        <v>27</v>
      </c>
      <c r="Q126" s="215"/>
      <c r="R126" s="231"/>
      <c r="S126" s="215" t="s">
        <v>58</v>
      </c>
    </row>
    <row r="127" ht="28.8" spans="1:19">
      <c r="A127" s="215">
        <v>126</v>
      </c>
      <c r="B127" s="215"/>
      <c r="C127" s="215"/>
      <c r="D127" s="215" t="s">
        <v>345</v>
      </c>
      <c r="E127" s="215" t="s">
        <v>389</v>
      </c>
      <c r="F127" s="215"/>
      <c r="G127" s="215"/>
      <c r="H127" s="215">
        <v>12.4</v>
      </c>
      <c r="I127" s="215" t="s">
        <v>22</v>
      </c>
      <c r="J127" s="230" t="s">
        <v>423</v>
      </c>
      <c r="K127" s="215" t="s">
        <v>24</v>
      </c>
      <c r="L127" s="215"/>
      <c r="M127" s="215"/>
      <c r="N127" s="229"/>
      <c r="O127" s="261"/>
      <c r="P127" s="215" t="s">
        <v>27</v>
      </c>
      <c r="Q127" s="215"/>
      <c r="R127" s="231"/>
      <c r="S127" s="215" t="s">
        <v>58</v>
      </c>
    </row>
    <row r="128" spans="1:19">
      <c r="A128" s="249">
        <v>60</v>
      </c>
      <c r="B128" s="249" t="s">
        <v>424</v>
      </c>
      <c r="C128" s="249" t="s">
        <v>41</v>
      </c>
      <c r="D128" s="215" t="s">
        <v>425</v>
      </c>
      <c r="E128" s="215" t="s">
        <v>389</v>
      </c>
      <c r="F128" s="215"/>
      <c r="G128" s="215"/>
      <c r="H128" s="215">
        <v>11.08</v>
      </c>
      <c r="I128" s="215" t="s">
        <v>29</v>
      </c>
      <c r="J128" s="230" t="s">
        <v>426</v>
      </c>
      <c r="K128" s="215" t="s">
        <v>24</v>
      </c>
      <c r="L128" s="214"/>
      <c r="M128" s="215"/>
      <c r="N128" s="229"/>
      <c r="O128" s="233"/>
      <c r="P128" s="215"/>
      <c r="Q128" s="231"/>
      <c r="R128" s="231"/>
      <c r="S128" s="235" t="s">
        <v>28</v>
      </c>
    </row>
    <row r="129" ht="34" customHeight="1" spans="1:19">
      <c r="A129" s="215">
        <v>68</v>
      </c>
      <c r="B129" s="215"/>
      <c r="C129" s="215"/>
      <c r="D129" s="215" t="s">
        <v>425</v>
      </c>
      <c r="E129" s="215" t="s">
        <v>389</v>
      </c>
      <c r="F129" s="215"/>
      <c r="G129" s="215"/>
      <c r="H129" s="215">
        <v>11.13</v>
      </c>
      <c r="I129" s="215" t="s">
        <v>22</v>
      </c>
      <c r="J129" s="230" t="s">
        <v>427</v>
      </c>
      <c r="K129" s="215" t="s">
        <v>24</v>
      </c>
      <c r="L129" s="215"/>
      <c r="M129" s="215"/>
      <c r="N129" s="328" t="s">
        <v>428</v>
      </c>
      <c r="O129" s="329" t="s">
        <v>429</v>
      </c>
      <c r="P129" s="269" t="s">
        <v>27</v>
      </c>
      <c r="Q129" s="330">
        <v>45614</v>
      </c>
      <c r="R129" s="231"/>
      <c r="S129" s="232" t="s">
        <v>201</v>
      </c>
    </row>
    <row r="130" spans="1:19">
      <c r="A130" s="215">
        <v>69</v>
      </c>
      <c r="B130" s="215"/>
      <c r="C130" s="215"/>
      <c r="D130" s="215"/>
      <c r="E130" s="215"/>
      <c r="F130" s="215"/>
      <c r="G130" s="215"/>
      <c r="H130" s="215">
        <v>11.13</v>
      </c>
      <c r="I130" s="215" t="s">
        <v>29</v>
      </c>
      <c r="J130" s="230" t="s">
        <v>430</v>
      </c>
      <c r="K130" s="215" t="s">
        <v>24</v>
      </c>
      <c r="L130" s="215"/>
      <c r="M130" s="215"/>
      <c r="N130" s="229" t="s">
        <v>431</v>
      </c>
      <c r="O130" s="230" t="s">
        <v>432</v>
      </c>
      <c r="P130" s="215" t="s">
        <v>27</v>
      </c>
      <c r="Q130" s="234">
        <v>45610</v>
      </c>
      <c r="R130" s="215">
        <v>11.14</v>
      </c>
      <c r="S130" s="235" t="s">
        <v>28</v>
      </c>
    </row>
    <row r="131" spans="1:19">
      <c r="A131" s="215">
        <v>84</v>
      </c>
      <c r="B131" s="215"/>
      <c r="C131" s="215"/>
      <c r="D131" s="215" t="s">
        <v>425</v>
      </c>
      <c r="E131" s="215" t="s">
        <v>389</v>
      </c>
      <c r="F131" s="215"/>
      <c r="G131" s="215"/>
      <c r="H131" s="215">
        <v>11.18</v>
      </c>
      <c r="I131" s="215" t="s">
        <v>35</v>
      </c>
      <c r="J131" s="230" t="s">
        <v>433</v>
      </c>
      <c r="K131" s="215" t="s">
        <v>24</v>
      </c>
      <c r="L131" s="215"/>
      <c r="M131" s="215"/>
      <c r="N131" s="229" t="s">
        <v>434</v>
      </c>
      <c r="O131" s="230" t="s">
        <v>435</v>
      </c>
      <c r="P131" s="215" t="s">
        <v>27</v>
      </c>
      <c r="Q131" s="234">
        <v>45618</v>
      </c>
      <c r="R131" s="231"/>
      <c r="S131" s="232" t="s">
        <v>161</v>
      </c>
    </row>
    <row r="132" ht="57.6" spans="1:19">
      <c r="A132" s="215">
        <v>93</v>
      </c>
      <c r="B132" s="215"/>
      <c r="C132" s="215"/>
      <c r="D132" s="215" t="s">
        <v>425</v>
      </c>
      <c r="E132" s="215" t="s">
        <v>389</v>
      </c>
      <c r="F132" s="215"/>
      <c r="G132" s="215"/>
      <c r="H132" s="215">
        <v>11.22</v>
      </c>
      <c r="I132" s="236" t="s">
        <v>22</v>
      </c>
      <c r="J132" s="230" t="s">
        <v>436</v>
      </c>
      <c r="K132" s="215" t="s">
        <v>24</v>
      </c>
      <c r="L132" s="215"/>
      <c r="M132" s="215"/>
      <c r="N132" s="229"/>
      <c r="O132" s="233"/>
      <c r="P132" s="215" t="s">
        <v>27</v>
      </c>
      <c r="Q132" s="215"/>
      <c r="R132" s="234">
        <v>45621</v>
      </c>
      <c r="S132" s="235" t="s">
        <v>28</v>
      </c>
    </row>
    <row r="133" ht="57.6" spans="1:19">
      <c r="A133" s="215">
        <v>97</v>
      </c>
      <c r="B133" s="215"/>
      <c r="C133" s="215"/>
      <c r="D133" s="215" t="s">
        <v>425</v>
      </c>
      <c r="E133" s="215" t="s">
        <v>389</v>
      </c>
      <c r="F133" s="215"/>
      <c r="G133" s="215"/>
      <c r="H133" s="215">
        <v>11.23</v>
      </c>
      <c r="I133" s="236" t="s">
        <v>22</v>
      </c>
      <c r="J133" s="230" t="s">
        <v>437</v>
      </c>
      <c r="K133" s="224" t="s">
        <v>24</v>
      </c>
      <c r="L133" s="215"/>
      <c r="M133" s="215"/>
      <c r="N133" s="229"/>
      <c r="O133" s="233"/>
      <c r="P133" s="215" t="s">
        <v>27</v>
      </c>
      <c r="Q133" s="215"/>
      <c r="R133" s="231"/>
      <c r="S133" s="215" t="s">
        <v>161</v>
      </c>
    </row>
    <row r="134" ht="28.8" spans="1:19">
      <c r="A134" s="215">
        <v>101</v>
      </c>
      <c r="B134" s="215"/>
      <c r="C134" s="215"/>
      <c r="D134" s="215" t="s">
        <v>425</v>
      </c>
      <c r="E134" s="215" t="s">
        <v>389</v>
      </c>
      <c r="F134" s="215"/>
      <c r="G134" s="215"/>
      <c r="H134" s="215">
        <v>11.25</v>
      </c>
      <c r="I134" s="215" t="s">
        <v>22</v>
      </c>
      <c r="J134" s="230" t="s">
        <v>438</v>
      </c>
      <c r="K134" s="215" t="s">
        <v>24</v>
      </c>
      <c r="L134" s="215"/>
      <c r="M134" s="215"/>
      <c r="N134" s="229" t="s">
        <v>439</v>
      </c>
      <c r="O134" s="230" t="s">
        <v>440</v>
      </c>
      <c r="P134" s="215" t="s">
        <v>27</v>
      </c>
      <c r="Q134" s="234">
        <v>45626</v>
      </c>
      <c r="R134" s="231"/>
      <c r="S134" s="224" t="s">
        <v>53</v>
      </c>
    </row>
    <row r="135" spans="1:19">
      <c r="A135" s="215">
        <v>123</v>
      </c>
      <c r="B135" s="215"/>
      <c r="C135" s="215"/>
      <c r="D135" s="215" t="s">
        <v>441</v>
      </c>
      <c r="E135" s="215" t="s">
        <v>389</v>
      </c>
      <c r="F135" s="215"/>
      <c r="G135" s="215"/>
      <c r="H135" s="215">
        <v>12.4</v>
      </c>
      <c r="I135" s="215" t="s">
        <v>29</v>
      </c>
      <c r="J135" s="230" t="s">
        <v>442</v>
      </c>
      <c r="K135" s="215" t="s">
        <v>24</v>
      </c>
      <c r="L135" s="215"/>
      <c r="M135" s="215"/>
      <c r="N135" s="229" t="s">
        <v>443</v>
      </c>
      <c r="O135" s="292" t="s">
        <v>444</v>
      </c>
      <c r="P135" s="215" t="s">
        <v>27</v>
      </c>
      <c r="Q135" s="215"/>
      <c r="R135" s="231"/>
      <c r="S135" s="235" t="s">
        <v>28</v>
      </c>
    </row>
    <row r="136" spans="1:19">
      <c r="A136" s="215">
        <v>124</v>
      </c>
      <c r="B136" s="215"/>
      <c r="C136" s="215"/>
      <c r="D136" s="215" t="s">
        <v>441</v>
      </c>
      <c r="E136" s="215" t="s">
        <v>389</v>
      </c>
      <c r="F136" s="215"/>
      <c r="G136" s="215"/>
      <c r="H136" s="215">
        <v>12.4</v>
      </c>
      <c r="I136" s="215" t="s">
        <v>29</v>
      </c>
      <c r="J136" s="230" t="s">
        <v>445</v>
      </c>
      <c r="K136" s="215" t="s">
        <v>24</v>
      </c>
      <c r="L136" s="215"/>
      <c r="M136" s="215"/>
      <c r="N136" s="229"/>
      <c r="O136" s="261"/>
      <c r="P136" s="215" t="s">
        <v>27</v>
      </c>
      <c r="Q136" s="215"/>
      <c r="R136" s="231"/>
      <c r="S136" s="215" t="s">
        <v>58</v>
      </c>
    </row>
    <row r="137" ht="28.8" spans="1:19">
      <c r="A137" s="224">
        <v>112</v>
      </c>
      <c r="B137" s="224"/>
      <c r="C137" s="224"/>
      <c r="D137" s="224" t="s">
        <v>425</v>
      </c>
      <c r="E137" s="224" t="s">
        <v>389</v>
      </c>
      <c r="F137" s="224"/>
      <c r="G137" s="224"/>
      <c r="H137" s="224">
        <v>12.2</v>
      </c>
      <c r="I137" s="224" t="s">
        <v>22</v>
      </c>
      <c r="J137" s="226" t="s">
        <v>446</v>
      </c>
      <c r="K137" s="224" t="s">
        <v>24</v>
      </c>
      <c r="L137" s="224"/>
      <c r="M137" s="224"/>
      <c r="N137" s="271" t="s">
        <v>447</v>
      </c>
      <c r="O137" s="230" t="s">
        <v>448</v>
      </c>
      <c r="P137" s="215" t="s">
        <v>27</v>
      </c>
      <c r="Q137" s="291">
        <v>45629</v>
      </c>
      <c r="R137" s="231"/>
      <c r="S137" s="215" t="s">
        <v>58</v>
      </c>
    </row>
    <row r="138" spans="1:19">
      <c r="A138" s="215">
        <v>74</v>
      </c>
      <c r="B138" s="215"/>
      <c r="C138" s="215"/>
      <c r="D138" s="215"/>
      <c r="E138" s="215"/>
      <c r="F138" s="215"/>
      <c r="G138" s="215"/>
      <c r="H138" s="215"/>
      <c r="I138" s="215"/>
      <c r="J138" s="230"/>
      <c r="K138" s="215"/>
      <c r="L138" s="215"/>
      <c r="M138" s="215"/>
      <c r="N138" s="229"/>
      <c r="O138" s="233"/>
      <c r="P138" s="215"/>
      <c r="Q138" s="215"/>
      <c r="R138" s="231"/>
      <c r="S138" s="215"/>
    </row>
    <row r="139" ht="51" customHeight="1" spans="1:19">
      <c r="A139" s="215">
        <v>83</v>
      </c>
      <c r="B139" s="215" t="s">
        <v>449</v>
      </c>
      <c r="C139" s="215" t="s">
        <v>112</v>
      </c>
      <c r="D139" s="215" t="s">
        <v>450</v>
      </c>
      <c r="E139" s="215" t="s">
        <v>311</v>
      </c>
      <c r="F139" s="215"/>
      <c r="G139" s="215"/>
      <c r="H139" s="215">
        <v>11.18</v>
      </c>
      <c r="I139" s="221" t="s">
        <v>22</v>
      </c>
      <c r="J139" s="230" t="s">
        <v>451</v>
      </c>
      <c r="K139" s="215" t="s">
        <v>24</v>
      </c>
      <c r="L139" s="215"/>
      <c r="M139" s="215"/>
      <c r="N139" s="229"/>
      <c r="O139" s="233"/>
      <c r="P139" s="215" t="s">
        <v>27</v>
      </c>
      <c r="Q139" s="215"/>
      <c r="R139" s="231"/>
      <c r="S139" s="215" t="s">
        <v>58</v>
      </c>
    </row>
    <row r="140" ht="28.8" spans="1:19">
      <c r="A140" s="215"/>
      <c r="B140" s="215"/>
      <c r="C140" s="215"/>
      <c r="D140" s="215"/>
      <c r="E140" s="215"/>
      <c r="F140" s="215"/>
      <c r="G140" s="215"/>
      <c r="H140" s="215"/>
      <c r="I140" s="238" t="s">
        <v>35</v>
      </c>
      <c r="J140" s="230" t="s">
        <v>452</v>
      </c>
      <c r="K140" s="215" t="s">
        <v>24</v>
      </c>
      <c r="L140" s="215"/>
      <c r="M140" s="215"/>
      <c r="N140" s="230" t="s">
        <v>453</v>
      </c>
      <c r="O140" s="230" t="s">
        <v>454</v>
      </c>
      <c r="P140" s="215" t="s">
        <v>27</v>
      </c>
      <c r="Q140" s="215"/>
      <c r="R140" s="231"/>
      <c r="S140" s="235" t="s">
        <v>47</v>
      </c>
    </row>
    <row r="141" spans="1:19">
      <c r="A141" s="224">
        <v>94</v>
      </c>
      <c r="B141" s="224" t="s">
        <v>455</v>
      </c>
      <c r="C141" s="224" t="s">
        <v>41</v>
      </c>
      <c r="D141" s="224" t="s">
        <v>456</v>
      </c>
      <c r="E141" s="224" t="s">
        <v>93</v>
      </c>
      <c r="F141" s="224"/>
      <c r="G141" s="224"/>
      <c r="H141" s="224">
        <v>11.22</v>
      </c>
      <c r="I141" s="224" t="s">
        <v>22</v>
      </c>
      <c r="J141" s="226" t="s">
        <v>457</v>
      </c>
      <c r="K141" s="224" t="s">
        <v>24</v>
      </c>
      <c r="L141" s="224"/>
      <c r="M141" s="224"/>
      <c r="N141" s="225" t="s">
        <v>458</v>
      </c>
      <c r="O141" s="226" t="s">
        <v>459</v>
      </c>
      <c r="P141" s="215" t="s">
        <v>27</v>
      </c>
      <c r="Q141" s="270">
        <v>45625</v>
      </c>
      <c r="R141" s="234">
        <v>45621</v>
      </c>
      <c r="S141" s="235" t="s">
        <v>28</v>
      </c>
    </row>
    <row r="142" ht="43.2" spans="1:19">
      <c r="A142" s="215">
        <v>98</v>
      </c>
      <c r="B142" s="215"/>
      <c r="C142" s="215"/>
      <c r="D142" s="215" t="s">
        <v>456</v>
      </c>
      <c r="E142" s="224" t="s">
        <v>93</v>
      </c>
      <c r="F142" s="215"/>
      <c r="G142" s="215"/>
      <c r="H142" s="215">
        <v>11.23</v>
      </c>
      <c r="I142" s="236" t="s">
        <v>22</v>
      </c>
      <c r="J142" s="230" t="s">
        <v>460</v>
      </c>
      <c r="K142" s="224" t="s">
        <v>24</v>
      </c>
      <c r="L142" s="215"/>
      <c r="M142" s="215"/>
      <c r="N142" s="229" t="s">
        <v>461</v>
      </c>
      <c r="O142" s="230" t="s">
        <v>462</v>
      </c>
      <c r="P142" s="215" t="s">
        <v>27</v>
      </c>
      <c r="Q142" s="234">
        <v>45625</v>
      </c>
      <c r="R142" s="231"/>
      <c r="S142" s="215" t="s">
        <v>53</v>
      </c>
    </row>
    <row r="143" ht="28.8" spans="1:19">
      <c r="A143" s="215">
        <v>104</v>
      </c>
      <c r="B143" s="215"/>
      <c r="C143" s="215"/>
      <c r="D143" s="215" t="s">
        <v>463</v>
      </c>
      <c r="E143" s="215" t="s">
        <v>93</v>
      </c>
      <c r="F143" s="215"/>
      <c r="G143" s="215"/>
      <c r="H143" s="215">
        <v>11.25</v>
      </c>
      <c r="I143" s="215" t="s">
        <v>22</v>
      </c>
      <c r="J143" s="230" t="s">
        <v>464</v>
      </c>
      <c r="K143" s="215" t="s">
        <v>24</v>
      </c>
      <c r="L143" s="215"/>
      <c r="M143" s="215"/>
      <c r="N143" s="229" t="s">
        <v>465</v>
      </c>
      <c r="O143" s="230" t="s">
        <v>466</v>
      </c>
      <c r="P143" s="215" t="s">
        <v>27</v>
      </c>
      <c r="Q143" s="270">
        <v>45629</v>
      </c>
      <c r="R143" s="227"/>
      <c r="S143" s="224" t="s">
        <v>58</v>
      </c>
    </row>
    <row r="144" spans="1:19">
      <c r="A144" s="215">
        <v>106</v>
      </c>
      <c r="B144" s="215" t="s">
        <v>467</v>
      </c>
      <c r="C144" s="215" t="s">
        <v>468</v>
      </c>
      <c r="D144" s="215" t="s">
        <v>469</v>
      </c>
      <c r="E144" s="215" t="s">
        <v>233</v>
      </c>
      <c r="F144" s="215"/>
      <c r="G144" s="215"/>
      <c r="H144" s="215">
        <v>11.27</v>
      </c>
      <c r="I144" s="215" t="s">
        <v>22</v>
      </c>
      <c r="J144" s="230" t="s">
        <v>470</v>
      </c>
      <c r="K144" s="215" t="s">
        <v>24</v>
      </c>
      <c r="L144" s="215"/>
      <c r="M144" s="215"/>
      <c r="N144" s="229" t="s">
        <v>471</v>
      </c>
      <c r="O144" s="230" t="s">
        <v>472</v>
      </c>
      <c r="P144" s="264" t="s">
        <v>27</v>
      </c>
      <c r="Q144" s="215"/>
      <c r="R144" s="231"/>
      <c r="S144" s="215" t="s">
        <v>47</v>
      </c>
    </row>
    <row r="145" ht="43.2" spans="1:19">
      <c r="A145" s="215">
        <v>111</v>
      </c>
      <c r="B145" s="215"/>
      <c r="C145" s="215"/>
      <c r="D145" s="215" t="s">
        <v>473</v>
      </c>
      <c r="E145" s="215" t="s">
        <v>93</v>
      </c>
      <c r="F145" s="215"/>
      <c r="G145" s="215"/>
      <c r="H145" s="215">
        <v>11.29</v>
      </c>
      <c r="I145" s="215" t="s">
        <v>474</v>
      </c>
      <c r="J145" s="230" t="s">
        <v>475</v>
      </c>
      <c r="K145" s="215"/>
      <c r="L145" s="215"/>
      <c r="M145" s="215"/>
      <c r="N145" s="229" t="s">
        <v>476</v>
      </c>
      <c r="O145" s="226" t="s">
        <v>477</v>
      </c>
      <c r="P145" s="264" t="s">
        <v>27</v>
      </c>
      <c r="Q145" s="291">
        <v>45656</v>
      </c>
      <c r="R145" s="227"/>
      <c r="S145" s="224" t="s">
        <v>58</v>
      </c>
    </row>
  </sheetData>
  <mergeCells count="50">
    <mergeCell ref="A8:A9"/>
    <mergeCell ref="A139:A140"/>
    <mergeCell ref="D6:D7"/>
    <mergeCell ref="D8:D9"/>
    <mergeCell ref="D13:D21"/>
    <mergeCell ref="D26:D27"/>
    <mergeCell ref="D34:D43"/>
    <mergeCell ref="D46:D47"/>
    <mergeCell ref="D51:D54"/>
    <mergeCell ref="D70:D71"/>
    <mergeCell ref="D73:D75"/>
    <mergeCell ref="D94:D95"/>
    <mergeCell ref="D117:D118"/>
    <mergeCell ref="D120:D121"/>
    <mergeCell ref="D129:D130"/>
    <mergeCell ref="D139:D140"/>
    <mergeCell ref="E6:E7"/>
    <mergeCell ref="E8:E9"/>
    <mergeCell ref="E13:E21"/>
    <mergeCell ref="E26:E27"/>
    <mergeCell ref="E34:E43"/>
    <mergeCell ref="E46:E47"/>
    <mergeCell ref="E51:E54"/>
    <mergeCell ref="E70:E71"/>
    <mergeCell ref="E73:E75"/>
    <mergeCell ref="E94:E95"/>
    <mergeCell ref="E117:E118"/>
    <mergeCell ref="E120:E122"/>
    <mergeCell ref="E129:E130"/>
    <mergeCell ref="E139:E140"/>
    <mergeCell ref="F94:F95"/>
    <mergeCell ref="G6:G7"/>
    <mergeCell ref="G13:G21"/>
    <mergeCell ref="G34:G43"/>
    <mergeCell ref="G46:G47"/>
    <mergeCell ref="G70:G71"/>
    <mergeCell ref="G73:G75"/>
    <mergeCell ref="H8:H9"/>
    <mergeCell ref="H16:H18"/>
    <mergeCell ref="H19:H21"/>
    <mergeCell ref="H26:H27"/>
    <mergeCell ref="H34:H42"/>
    <mergeCell ref="H46:H47"/>
    <mergeCell ref="H51:H54"/>
    <mergeCell ref="H70:H71"/>
    <mergeCell ref="H73:H75"/>
    <mergeCell ref="H94:H95"/>
    <mergeCell ref="H117:H118"/>
    <mergeCell ref="H139:H140"/>
    <mergeCell ref="J35:J3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42"/>
  <sheetViews>
    <sheetView workbookViewId="0">
      <selection activeCell="U3" sqref="U3"/>
    </sheetView>
  </sheetViews>
  <sheetFormatPr defaultColWidth="8.88888888888889" defaultRowHeight="30" customHeight="1"/>
  <cols>
    <col min="1" max="1" width="5.55555555555556" style="1" customWidth="1"/>
    <col min="2" max="2" width="7.88888888888889" style="1" customWidth="1"/>
    <col min="3" max="3" width="14.6666666666667" style="1" customWidth="1"/>
    <col min="4" max="4" width="36.5555555555556" style="1" customWidth="1"/>
    <col min="5" max="6" width="9.33333333333333" style="1" customWidth="1"/>
    <col min="7" max="7" width="10" style="1" customWidth="1"/>
    <col min="8" max="9" width="12.3333333333333" style="1" customWidth="1"/>
    <col min="10" max="10" width="11.8888888888889" style="2" customWidth="1"/>
    <col min="11" max="11" width="29.2222222222222" style="79" customWidth="1"/>
    <col min="12" max="12" width="10.8888888888889" style="2" customWidth="1"/>
    <col min="13" max="13" width="7.33333333333333" style="2" customWidth="1"/>
    <col min="14" max="14" width="9.55555555555556" style="2" customWidth="1"/>
    <col min="15" max="15" width="8.44444444444444" style="2" customWidth="1"/>
    <col min="16" max="16" width="11.7777777777778" style="2" customWidth="1"/>
    <col min="17" max="17" width="13.5555555555556" style="2" customWidth="1"/>
    <col min="18" max="18" width="22.8888888888889" customWidth="1"/>
  </cols>
  <sheetData>
    <row r="1" ht="47" customHeight="1" spans="1:19">
      <c r="A1" s="83" t="s">
        <v>478</v>
      </c>
      <c r="B1" s="83"/>
      <c r="C1" s="83"/>
      <c r="D1" s="83"/>
      <c r="E1" s="83"/>
      <c r="F1" s="83"/>
      <c r="G1" s="83"/>
      <c r="H1" s="83"/>
      <c r="I1" s="83"/>
      <c r="J1" s="85"/>
      <c r="K1" s="83"/>
      <c r="L1" s="9"/>
      <c r="M1" s="9"/>
      <c r="N1" s="9"/>
      <c r="O1" s="9"/>
      <c r="P1" s="9"/>
      <c r="Q1" s="83"/>
    </row>
    <row r="2" customHeight="1" spans="1:19">
      <c r="A2" s="176" t="s">
        <v>0</v>
      </c>
      <c r="B2" s="176" t="s">
        <v>479</v>
      </c>
      <c r="C2" s="176" t="s">
        <v>480</v>
      </c>
      <c r="D2" s="176" t="s">
        <v>1</v>
      </c>
      <c r="E2" s="177" t="s">
        <v>481</v>
      </c>
      <c r="F2" s="177" t="s">
        <v>482</v>
      </c>
      <c r="G2" s="176" t="s">
        <v>483</v>
      </c>
      <c r="H2" s="176" t="s">
        <v>484</v>
      </c>
      <c r="I2" s="176" t="s">
        <v>485</v>
      </c>
      <c r="J2" s="177" t="s">
        <v>486</v>
      </c>
      <c r="K2" s="178" t="s">
        <v>487</v>
      </c>
      <c r="L2" s="9" t="s">
        <v>488</v>
      </c>
      <c r="M2" s="9" t="s">
        <v>489</v>
      </c>
      <c r="N2" s="9" t="s">
        <v>490</v>
      </c>
      <c r="O2" s="9" t="s">
        <v>491</v>
      </c>
      <c r="P2" s="9" t="s">
        <v>492</v>
      </c>
      <c r="Q2" s="177" t="s">
        <v>493</v>
      </c>
    </row>
    <row r="3" hidden="1" customHeight="1" spans="1:19">
      <c r="A3" s="40">
        <v>1</v>
      </c>
      <c r="B3" s="40" t="s">
        <v>494</v>
      </c>
      <c r="C3" s="179" t="s">
        <v>495</v>
      </c>
      <c r="D3" s="180" t="s">
        <v>496</v>
      </c>
      <c r="E3" s="40" t="s">
        <v>233</v>
      </c>
      <c r="F3" s="40" t="s">
        <v>242</v>
      </c>
      <c r="G3" s="40" t="s">
        <v>497</v>
      </c>
      <c r="H3" s="53">
        <v>45667</v>
      </c>
      <c r="I3" s="53">
        <v>45673</v>
      </c>
      <c r="J3" s="52">
        <f>((I3-H3)+1)-ROUNDDOWN((I3-H3)/7,0)*2</f>
        <v>7</v>
      </c>
      <c r="K3" s="57"/>
      <c r="L3" s="9">
        <v>1327</v>
      </c>
      <c r="M3" s="9">
        <v>0</v>
      </c>
      <c r="N3" s="9"/>
      <c r="O3" s="9"/>
      <c r="P3" s="9">
        <v>7</v>
      </c>
      <c r="Q3" s="181" t="s">
        <v>498</v>
      </c>
    </row>
    <row r="4" ht="43" hidden="1" customHeight="1" spans="1:19">
      <c r="A4" s="40">
        <v>2</v>
      </c>
      <c r="B4" s="40" t="s">
        <v>494</v>
      </c>
      <c r="C4" s="179" t="s">
        <v>499</v>
      </c>
      <c r="D4" s="182" t="s">
        <v>500</v>
      </c>
      <c r="E4" s="176" t="s">
        <v>389</v>
      </c>
      <c r="F4" s="176" t="s">
        <v>501</v>
      </c>
      <c r="G4" s="183" t="s">
        <v>497</v>
      </c>
      <c r="H4" s="53">
        <v>45629</v>
      </c>
      <c r="I4" s="53">
        <v>45635</v>
      </c>
      <c r="J4" s="15">
        <f>((I4-H4)+1)-ROUNDDOWN((I4-H4)/7,0)*2</f>
        <v>7</v>
      </c>
      <c r="K4" s="59" t="s">
        <v>502</v>
      </c>
      <c r="L4" s="9">
        <v>1371</v>
      </c>
      <c r="M4" s="9">
        <v>3</v>
      </c>
      <c r="N4" s="9">
        <v>2</v>
      </c>
      <c r="O4" s="9">
        <f>M4-N4</f>
        <v>1</v>
      </c>
      <c r="P4" s="9"/>
      <c r="Q4" s="184" t="s">
        <v>503</v>
      </c>
      <c r="R4" t="s">
        <v>504</v>
      </c>
    </row>
    <row r="5" hidden="1" customHeight="1" spans="1:19">
      <c r="A5" s="40">
        <v>3</v>
      </c>
      <c r="B5" s="40" t="s">
        <v>494</v>
      </c>
      <c r="C5" s="185" t="s">
        <v>505</v>
      </c>
      <c r="D5" s="180" t="s">
        <v>506</v>
      </c>
      <c r="E5" s="40" t="s">
        <v>233</v>
      </c>
      <c r="F5" s="40" t="s">
        <v>242</v>
      </c>
      <c r="G5" s="40" t="s">
        <v>497</v>
      </c>
      <c r="H5" s="53">
        <v>45668</v>
      </c>
      <c r="I5" s="53">
        <v>45673</v>
      </c>
      <c r="J5" s="52">
        <f t="shared" ref="J5:J10" si="0">((I5-H5)+1)-ROUNDDOWN((I5-H5)/7,0)*2</f>
        <v>6</v>
      </c>
      <c r="K5" s="57"/>
      <c r="L5" s="9">
        <v>964</v>
      </c>
      <c r="M5" s="9">
        <v>0</v>
      </c>
      <c r="N5" s="9"/>
      <c r="O5" s="9"/>
      <c r="P5" s="9">
        <v>6</v>
      </c>
      <c r="Q5" s="181" t="s">
        <v>498</v>
      </c>
    </row>
    <row r="6" ht="67" hidden="1" customHeight="1" spans="1:19">
      <c r="A6" s="40">
        <v>4</v>
      </c>
      <c r="B6" s="40" t="s">
        <v>494</v>
      </c>
      <c r="C6" s="185" t="s">
        <v>507</v>
      </c>
      <c r="D6" s="182" t="s">
        <v>508</v>
      </c>
      <c r="E6" s="40" t="s">
        <v>43</v>
      </c>
      <c r="F6" s="40" t="s">
        <v>315</v>
      </c>
      <c r="G6" s="40" t="s">
        <v>497</v>
      </c>
      <c r="H6" s="53">
        <v>45635</v>
      </c>
      <c r="I6" s="53">
        <v>45670</v>
      </c>
      <c r="J6" s="52">
        <f t="shared" si="0"/>
        <v>26</v>
      </c>
      <c r="K6" s="67" t="s">
        <v>509</v>
      </c>
      <c r="L6" s="9">
        <v>3</v>
      </c>
      <c r="M6" s="9">
        <v>6</v>
      </c>
      <c r="N6" s="9">
        <v>5</v>
      </c>
      <c r="O6" s="9">
        <f>M6-N6</f>
        <v>1</v>
      </c>
      <c r="P6" s="9"/>
      <c r="Q6" s="181" t="s">
        <v>498</v>
      </c>
    </row>
    <row r="7" customHeight="1" spans="1:19">
      <c r="A7" s="40">
        <v>5</v>
      </c>
      <c r="B7" s="40" t="s">
        <v>494</v>
      </c>
      <c r="C7" s="179" t="s">
        <v>510</v>
      </c>
      <c r="D7" s="40" t="s">
        <v>511</v>
      </c>
      <c r="E7" s="40" t="s">
        <v>512</v>
      </c>
      <c r="F7" s="40" t="s">
        <v>501</v>
      </c>
      <c r="G7" s="186" t="s">
        <v>513</v>
      </c>
      <c r="H7" s="53"/>
      <c r="I7" s="53"/>
      <c r="J7" s="52"/>
      <c r="K7" s="57" t="s">
        <v>514</v>
      </c>
      <c r="L7" s="9"/>
      <c r="M7" s="9"/>
      <c r="N7" s="9"/>
      <c r="O7" s="9">
        <f t="shared" ref="O5:O10" si="1">M7-N7</f>
        <v>0</v>
      </c>
      <c r="P7" s="9"/>
      <c r="Q7" s="9" t="s">
        <v>515</v>
      </c>
    </row>
    <row r="8" customHeight="1" spans="1:19">
      <c r="A8" s="40">
        <v>6</v>
      </c>
      <c r="B8" s="40" t="s">
        <v>494</v>
      </c>
      <c r="C8" s="179" t="s">
        <v>516</v>
      </c>
      <c r="D8" s="187" t="s">
        <v>517</v>
      </c>
      <c r="E8" s="40" t="s">
        <v>20</v>
      </c>
      <c r="F8" s="40" t="s">
        <v>518</v>
      </c>
      <c r="G8" s="40" t="s">
        <v>519</v>
      </c>
      <c r="H8" s="53">
        <v>45649</v>
      </c>
      <c r="I8" s="53">
        <v>45649</v>
      </c>
      <c r="K8" s="57" t="s">
        <v>520</v>
      </c>
      <c r="M8" s="9"/>
      <c r="N8" s="9"/>
      <c r="O8" s="9"/>
      <c r="P8" s="9">
        <f>N8-O8</f>
        <v>0</v>
      </c>
      <c r="Q8" s="9" t="s">
        <v>521</v>
      </c>
    </row>
    <row r="9" hidden="1" customHeight="1" spans="1:19">
      <c r="A9" s="40">
        <v>7</v>
      </c>
      <c r="B9" s="40" t="s">
        <v>494</v>
      </c>
      <c r="C9" s="188" t="s">
        <v>522</v>
      </c>
      <c r="D9" s="182" t="s">
        <v>523</v>
      </c>
      <c r="E9" s="40" t="s">
        <v>233</v>
      </c>
      <c r="F9" s="40" t="s">
        <v>98</v>
      </c>
      <c r="G9" s="183" t="s">
        <v>497</v>
      </c>
      <c r="H9" s="53">
        <v>45628</v>
      </c>
      <c r="I9" s="53">
        <v>45657</v>
      </c>
      <c r="J9" s="52">
        <f t="shared" si="0"/>
        <v>22</v>
      </c>
      <c r="K9" s="57" t="s">
        <v>524</v>
      </c>
      <c r="L9" s="9">
        <v>315</v>
      </c>
      <c r="M9" s="9">
        <v>5</v>
      </c>
      <c r="N9" s="9">
        <v>5</v>
      </c>
      <c r="O9" s="9">
        <f t="shared" si="1"/>
        <v>0</v>
      </c>
      <c r="P9" s="9">
        <v>8</v>
      </c>
      <c r="Q9" s="184" t="s">
        <v>503</v>
      </c>
    </row>
    <row r="10" ht="67" hidden="1" customHeight="1" spans="1:19">
      <c r="A10" s="40">
        <v>8</v>
      </c>
      <c r="B10" s="40" t="s">
        <v>494</v>
      </c>
      <c r="C10" s="189"/>
      <c r="D10" s="190" t="s">
        <v>525</v>
      </c>
      <c r="E10" s="40" t="s">
        <v>233</v>
      </c>
      <c r="F10" s="177" t="s">
        <v>501</v>
      </c>
      <c r="G10" s="183" t="s">
        <v>497</v>
      </c>
      <c r="H10" s="53">
        <v>45621</v>
      </c>
      <c r="I10" s="53">
        <v>45649</v>
      </c>
      <c r="J10" s="40">
        <f t="shared" si="0"/>
        <v>21</v>
      </c>
      <c r="K10" s="57" t="s">
        <v>526</v>
      </c>
      <c r="L10" s="9" t="s">
        <v>527</v>
      </c>
      <c r="M10" s="9"/>
      <c r="N10" s="9"/>
      <c r="O10" s="9">
        <f t="shared" si="1"/>
        <v>0</v>
      </c>
      <c r="P10" s="9">
        <v>15</v>
      </c>
      <c r="Q10" s="181" t="s">
        <v>528</v>
      </c>
    </row>
    <row r="11" customHeight="1" spans="1:19">
      <c r="A11" s="40">
        <v>9</v>
      </c>
      <c r="B11" s="40" t="s">
        <v>494</v>
      </c>
      <c r="C11" s="191"/>
      <c r="D11" s="192" t="s">
        <v>254</v>
      </c>
      <c r="E11" s="40" t="s">
        <v>233</v>
      </c>
      <c r="F11" s="40" t="s">
        <v>98</v>
      </c>
      <c r="G11" s="40" t="s">
        <v>529</v>
      </c>
      <c r="H11" s="53">
        <v>45576</v>
      </c>
      <c r="I11" s="53">
        <v>45622</v>
      </c>
      <c r="J11" s="52">
        <f t="shared" ref="J11:J13" si="2">((I11-H11)+1)-ROUNDDOWN((I11-H11)/7,0)*2</f>
        <v>35</v>
      </c>
      <c r="K11" s="57" t="s">
        <v>530</v>
      </c>
      <c r="L11" s="9" t="s">
        <v>531</v>
      </c>
      <c r="M11" s="9">
        <v>4</v>
      </c>
      <c r="N11" s="9">
        <v>4</v>
      </c>
      <c r="O11" s="9">
        <f t="shared" ref="O11:O13" si="3">M11-N11</f>
        <v>0</v>
      </c>
      <c r="P11" s="9">
        <v>15</v>
      </c>
      <c r="Q11" s="9" t="s">
        <v>521</v>
      </c>
      <c r="S11" t="s">
        <v>532</v>
      </c>
    </row>
    <row r="12" ht="48" hidden="1" customHeight="1" spans="1:19">
      <c r="A12" s="40">
        <v>10</v>
      </c>
      <c r="B12" s="40" t="s">
        <v>494</v>
      </c>
      <c r="C12" s="188" t="s">
        <v>495</v>
      </c>
      <c r="D12" s="182" t="s">
        <v>533</v>
      </c>
      <c r="E12" s="40" t="s">
        <v>233</v>
      </c>
      <c r="F12" s="40" t="s">
        <v>242</v>
      </c>
      <c r="G12" s="40" t="s">
        <v>497</v>
      </c>
      <c r="H12" s="53">
        <v>45670</v>
      </c>
      <c r="I12" s="53">
        <v>45674</v>
      </c>
      <c r="J12" s="52">
        <f t="shared" si="2"/>
        <v>5</v>
      </c>
      <c r="K12" s="57" t="s">
        <v>534</v>
      </c>
      <c r="L12" s="9">
        <v>1321</v>
      </c>
      <c r="M12" s="9">
        <v>0</v>
      </c>
      <c r="N12" s="9"/>
      <c r="O12" s="9"/>
      <c r="P12" s="9">
        <v>5</v>
      </c>
      <c r="Q12" s="181" t="s">
        <v>498</v>
      </c>
    </row>
    <row r="13" customFormat="1" ht="48" hidden="1" customHeight="1" spans="1:19">
      <c r="A13" s="40">
        <v>11</v>
      </c>
      <c r="B13" s="40" t="s">
        <v>494</v>
      </c>
      <c r="C13" s="188" t="s">
        <v>495</v>
      </c>
      <c r="D13" s="182" t="s">
        <v>535</v>
      </c>
      <c r="E13" s="40" t="s">
        <v>233</v>
      </c>
      <c r="F13" s="40" t="s">
        <v>242</v>
      </c>
      <c r="G13" s="40" t="s">
        <v>497</v>
      </c>
      <c r="H13" s="53">
        <v>45670</v>
      </c>
      <c r="I13" s="53">
        <v>45674</v>
      </c>
      <c r="J13" s="52">
        <f t="shared" si="2"/>
        <v>5</v>
      </c>
      <c r="K13" s="57" t="s">
        <v>534</v>
      </c>
      <c r="L13" s="9">
        <v>1461</v>
      </c>
      <c r="M13" s="9">
        <v>0</v>
      </c>
      <c r="N13" s="9"/>
      <c r="O13" s="9"/>
      <c r="P13" s="9">
        <v>5</v>
      </c>
      <c r="Q13" s="181" t="s">
        <v>498</v>
      </c>
    </row>
    <row r="14" ht="57" customHeight="1" spans="1:19">
      <c r="A14" s="40">
        <v>12</v>
      </c>
      <c r="B14" s="40" t="s">
        <v>494</v>
      </c>
      <c r="C14" s="179" t="s">
        <v>536</v>
      </c>
      <c r="D14" s="192" t="s">
        <v>42</v>
      </c>
      <c r="E14" s="40" t="s">
        <v>43</v>
      </c>
      <c r="F14" s="40" t="s">
        <v>242</v>
      </c>
      <c r="G14" s="40" t="s">
        <v>497</v>
      </c>
      <c r="H14" s="53">
        <v>45614</v>
      </c>
      <c r="I14" s="53">
        <v>45633</v>
      </c>
      <c r="J14" s="52">
        <f t="shared" ref="J14:J25" si="4">((I14-H14)+1)-ROUNDDOWN((I14-H14)/7,0)*2</f>
        <v>16</v>
      </c>
      <c r="K14" s="67" t="s">
        <v>537</v>
      </c>
      <c r="L14" s="9">
        <v>871</v>
      </c>
      <c r="M14" s="9">
        <v>16</v>
      </c>
      <c r="N14" s="9">
        <v>13</v>
      </c>
      <c r="O14" s="9">
        <f t="shared" ref="O14:O35" si="5">M14-N14</f>
        <v>3</v>
      </c>
      <c r="P14" s="9">
        <v>7</v>
      </c>
      <c r="Q14" s="9" t="s">
        <v>521</v>
      </c>
    </row>
    <row r="15" ht="61" hidden="1" customHeight="1" spans="1:19">
      <c r="A15" s="40">
        <v>13</v>
      </c>
      <c r="B15" s="40" t="s">
        <v>494</v>
      </c>
      <c r="C15" s="193" t="s">
        <v>538</v>
      </c>
      <c r="D15" s="186" t="s">
        <v>539</v>
      </c>
      <c r="E15" s="40" t="s">
        <v>93</v>
      </c>
      <c r="F15" s="40" t="s">
        <v>98</v>
      </c>
      <c r="G15" s="15" t="s">
        <v>497</v>
      </c>
      <c r="H15" s="53">
        <v>45621</v>
      </c>
      <c r="I15" s="53">
        <v>45649</v>
      </c>
      <c r="J15" s="52">
        <f t="shared" si="4"/>
        <v>21</v>
      </c>
      <c r="K15" s="57" t="s">
        <v>540</v>
      </c>
      <c r="L15" s="9"/>
      <c r="M15" s="9">
        <v>7</v>
      </c>
      <c r="N15" s="9">
        <v>6</v>
      </c>
      <c r="O15" s="9">
        <f t="shared" si="5"/>
        <v>1</v>
      </c>
      <c r="P15" s="9">
        <v>5</v>
      </c>
      <c r="Q15" s="181" t="s">
        <v>528</v>
      </c>
    </row>
    <row r="16" customHeight="1" spans="1:19">
      <c r="A16" s="40">
        <v>14</v>
      </c>
      <c r="B16" s="40" t="s">
        <v>494</v>
      </c>
      <c r="C16" s="189"/>
      <c r="D16" s="192" t="s">
        <v>264</v>
      </c>
      <c r="E16" s="40" t="s">
        <v>233</v>
      </c>
      <c r="F16" s="40" t="s">
        <v>98</v>
      </c>
      <c r="G16" s="40" t="s">
        <v>497</v>
      </c>
      <c r="H16" s="53">
        <v>45560</v>
      </c>
      <c r="I16" s="53">
        <v>45616</v>
      </c>
      <c r="J16" s="52">
        <f t="shared" si="4"/>
        <v>41</v>
      </c>
      <c r="K16" s="57" t="s">
        <v>541</v>
      </c>
      <c r="L16" s="9" t="s">
        <v>542</v>
      </c>
      <c r="M16" s="9">
        <v>2</v>
      </c>
      <c r="N16" s="9">
        <v>2</v>
      </c>
      <c r="O16" s="9">
        <f t="shared" si="5"/>
        <v>0</v>
      </c>
      <c r="P16" s="9"/>
      <c r="Q16" s="9" t="s">
        <v>521</v>
      </c>
      <c r="S16" t="s">
        <v>532</v>
      </c>
    </row>
    <row r="17" ht="59" hidden="1" customHeight="1" spans="1:18">
      <c r="A17" s="40">
        <v>15</v>
      </c>
      <c r="B17" s="40" t="s">
        <v>494</v>
      </c>
      <c r="C17" s="191"/>
      <c r="D17" s="182" t="s">
        <v>543</v>
      </c>
      <c r="E17" s="40" t="s">
        <v>20</v>
      </c>
      <c r="F17" s="40" t="s">
        <v>242</v>
      </c>
      <c r="G17" s="40" t="s">
        <v>497</v>
      </c>
      <c r="H17" s="53">
        <v>45621</v>
      </c>
      <c r="I17" s="53">
        <v>45633</v>
      </c>
      <c r="J17" s="52">
        <f t="shared" si="4"/>
        <v>11</v>
      </c>
      <c r="K17" s="57" t="s">
        <v>544</v>
      </c>
      <c r="L17" s="9"/>
      <c r="M17" s="9">
        <v>1</v>
      </c>
      <c r="N17" s="9">
        <v>1</v>
      </c>
      <c r="O17" s="9">
        <f t="shared" si="5"/>
        <v>0</v>
      </c>
      <c r="P17" s="9"/>
      <c r="Q17" s="184" t="s">
        <v>503</v>
      </c>
      <c r="R17" s="194" t="s">
        <v>545</v>
      </c>
    </row>
    <row r="18" customHeight="1" spans="1:18">
      <c r="A18" s="40">
        <v>16</v>
      </c>
      <c r="B18" s="40" t="s">
        <v>494</v>
      </c>
      <c r="C18" s="188" t="s">
        <v>546</v>
      </c>
      <c r="D18" s="15" t="s">
        <v>539</v>
      </c>
      <c r="E18" s="40" t="s">
        <v>93</v>
      </c>
      <c r="F18" s="40" t="s">
        <v>98</v>
      </c>
      <c r="G18" s="40" t="s">
        <v>497</v>
      </c>
      <c r="H18" s="53">
        <v>45595</v>
      </c>
      <c r="I18" s="53">
        <v>45633</v>
      </c>
      <c r="J18" s="52">
        <f t="shared" si="4"/>
        <v>29</v>
      </c>
      <c r="K18" s="57" t="s">
        <v>547</v>
      </c>
      <c r="L18" s="45">
        <v>1300</v>
      </c>
      <c r="M18" s="9">
        <v>7</v>
      </c>
      <c r="N18" s="9">
        <v>6</v>
      </c>
      <c r="O18" s="9">
        <f t="shared" si="5"/>
        <v>1</v>
      </c>
      <c r="P18" s="9"/>
      <c r="Q18" s="9" t="s">
        <v>515</v>
      </c>
    </row>
    <row r="19" hidden="1" customHeight="1" spans="1:18">
      <c r="A19" s="40">
        <v>17</v>
      </c>
      <c r="B19" s="40" t="s">
        <v>494</v>
      </c>
      <c r="C19" s="191"/>
      <c r="D19" s="182" t="s">
        <v>548</v>
      </c>
      <c r="E19" s="40" t="s">
        <v>93</v>
      </c>
      <c r="F19" s="40" t="s">
        <v>98</v>
      </c>
      <c r="G19" s="40" t="s">
        <v>497</v>
      </c>
      <c r="H19" s="53">
        <v>45595</v>
      </c>
      <c r="I19" s="53">
        <v>45633</v>
      </c>
      <c r="J19" s="52">
        <f t="shared" si="4"/>
        <v>29</v>
      </c>
      <c r="K19" s="57" t="s">
        <v>549</v>
      </c>
      <c r="L19" s="54" t="s">
        <v>550</v>
      </c>
      <c r="M19" s="9">
        <v>9</v>
      </c>
      <c r="N19" s="9">
        <v>9</v>
      </c>
      <c r="O19" s="9">
        <f t="shared" si="5"/>
        <v>0</v>
      </c>
      <c r="P19" s="9"/>
      <c r="Q19" s="181" t="s">
        <v>551</v>
      </c>
    </row>
    <row r="20" hidden="1" customHeight="1" spans="1:18">
      <c r="A20" s="40">
        <v>18</v>
      </c>
      <c r="B20" s="40" t="s">
        <v>494</v>
      </c>
      <c r="C20" s="188" t="s">
        <v>552</v>
      </c>
      <c r="D20" s="182" t="s">
        <v>342</v>
      </c>
      <c r="E20" s="40" t="s">
        <v>311</v>
      </c>
      <c r="F20" s="40" t="s">
        <v>242</v>
      </c>
      <c r="G20" s="40" t="s">
        <v>497</v>
      </c>
      <c r="H20" s="53">
        <v>45601</v>
      </c>
      <c r="I20" s="53">
        <v>45633</v>
      </c>
      <c r="J20" s="52">
        <f t="shared" ref="J20:J23" si="6">((I20-H20)+1)</f>
        <v>33</v>
      </c>
      <c r="K20" s="195" t="s">
        <v>553</v>
      </c>
      <c r="L20" s="9" t="s">
        <v>554</v>
      </c>
      <c r="M20" s="9">
        <v>1</v>
      </c>
      <c r="N20" s="9">
        <v>1</v>
      </c>
      <c r="O20" s="9">
        <f t="shared" si="5"/>
        <v>0</v>
      </c>
      <c r="P20" s="9">
        <v>18</v>
      </c>
      <c r="Q20" s="181" t="s">
        <v>551</v>
      </c>
    </row>
    <row r="21" hidden="1" customHeight="1" spans="1:18">
      <c r="A21" s="40">
        <v>19</v>
      </c>
      <c r="B21" s="40" t="s">
        <v>494</v>
      </c>
      <c r="C21" s="191"/>
      <c r="D21" s="182" t="s">
        <v>555</v>
      </c>
      <c r="E21" s="40" t="s">
        <v>311</v>
      </c>
      <c r="F21" s="40" t="s">
        <v>242</v>
      </c>
      <c r="G21" s="40" t="s">
        <v>497</v>
      </c>
      <c r="H21" s="53">
        <v>45624</v>
      </c>
      <c r="I21" s="53">
        <v>45633</v>
      </c>
      <c r="J21" s="52">
        <f t="shared" si="4"/>
        <v>8</v>
      </c>
      <c r="K21" s="195" t="s">
        <v>556</v>
      </c>
      <c r="L21" s="9" t="s">
        <v>557</v>
      </c>
      <c r="M21" s="9">
        <v>4</v>
      </c>
      <c r="N21" s="9">
        <v>4</v>
      </c>
      <c r="O21" s="9">
        <f t="shared" si="5"/>
        <v>0</v>
      </c>
      <c r="P21" s="9">
        <v>18</v>
      </c>
      <c r="Q21" s="181" t="s">
        <v>551</v>
      </c>
    </row>
    <row r="22" customHeight="1" spans="1:18">
      <c r="A22" s="40">
        <v>20</v>
      </c>
      <c r="B22" s="40" t="s">
        <v>494</v>
      </c>
      <c r="C22" s="188" t="s">
        <v>558</v>
      </c>
      <c r="D22" s="15" t="s">
        <v>559</v>
      </c>
      <c r="E22" s="40" t="s">
        <v>311</v>
      </c>
      <c r="F22" s="40" t="s">
        <v>242</v>
      </c>
      <c r="G22" s="40" t="s">
        <v>497</v>
      </c>
      <c r="H22" s="53">
        <v>45601</v>
      </c>
      <c r="I22" s="53">
        <v>45633</v>
      </c>
      <c r="J22" s="52">
        <f t="shared" si="6"/>
        <v>33</v>
      </c>
      <c r="K22" s="195" t="s">
        <v>560</v>
      </c>
      <c r="L22" s="9" t="s">
        <v>561</v>
      </c>
      <c r="M22" s="9">
        <v>6</v>
      </c>
      <c r="N22" s="9">
        <v>1</v>
      </c>
      <c r="O22" s="9">
        <f t="shared" si="5"/>
        <v>5</v>
      </c>
      <c r="P22" s="9"/>
      <c r="Q22" s="9" t="s">
        <v>515</v>
      </c>
    </row>
    <row r="23" hidden="1" customHeight="1" spans="1:18">
      <c r="A23" s="40">
        <v>21</v>
      </c>
      <c r="B23" s="40" t="s">
        <v>494</v>
      </c>
      <c r="C23" s="189"/>
      <c r="D23" s="182" t="s">
        <v>329</v>
      </c>
      <c r="E23" s="40" t="s">
        <v>311</v>
      </c>
      <c r="F23" s="40" t="s">
        <v>242</v>
      </c>
      <c r="G23" s="40" t="s">
        <v>497</v>
      </c>
      <c r="H23" s="53">
        <v>45601</v>
      </c>
      <c r="I23" s="53">
        <v>45621</v>
      </c>
      <c r="J23" s="52">
        <f t="shared" si="6"/>
        <v>21</v>
      </c>
      <c r="K23" s="195" t="s">
        <v>562</v>
      </c>
      <c r="L23" s="9" t="s">
        <v>563</v>
      </c>
      <c r="M23" s="9">
        <v>1</v>
      </c>
      <c r="N23" s="9">
        <v>1</v>
      </c>
      <c r="O23" s="9">
        <f t="shared" si="5"/>
        <v>0</v>
      </c>
      <c r="P23" s="9">
        <v>18</v>
      </c>
      <c r="Q23" s="181" t="s">
        <v>551</v>
      </c>
    </row>
    <row r="24" hidden="1" customHeight="1" spans="1:18">
      <c r="A24" s="40">
        <v>22</v>
      </c>
      <c r="B24" s="40" t="s">
        <v>494</v>
      </c>
      <c r="C24" s="179" t="s">
        <v>564</v>
      </c>
      <c r="D24" s="182" t="s">
        <v>565</v>
      </c>
      <c r="E24" s="40" t="s">
        <v>389</v>
      </c>
      <c r="F24" s="40" t="s">
        <v>566</v>
      </c>
      <c r="G24" s="40" t="s">
        <v>497</v>
      </c>
      <c r="H24" s="53">
        <v>45590</v>
      </c>
      <c r="I24" s="53">
        <v>45633</v>
      </c>
      <c r="J24" s="52">
        <f t="shared" ref="J24:J29" si="7">((I24-H24)+1)-ROUNDDOWN((I24-H24)/7,0)*2</f>
        <v>32</v>
      </c>
      <c r="K24" s="57" t="s">
        <v>567</v>
      </c>
      <c r="L24" s="9">
        <v>11325</v>
      </c>
      <c r="M24" s="9">
        <v>1</v>
      </c>
      <c r="N24" s="9">
        <v>1</v>
      </c>
      <c r="O24" s="9">
        <f t="shared" si="5"/>
        <v>0</v>
      </c>
      <c r="P24" s="9">
        <v>15</v>
      </c>
      <c r="Q24" s="184" t="s">
        <v>503</v>
      </c>
    </row>
    <row r="25" ht="61" customHeight="1" spans="1:18">
      <c r="A25" s="40">
        <v>23</v>
      </c>
      <c r="B25" s="40" t="s">
        <v>494</v>
      </c>
      <c r="C25" s="188" t="s">
        <v>568</v>
      </c>
      <c r="D25" s="15" t="s">
        <v>569</v>
      </c>
      <c r="E25" s="40" t="s">
        <v>124</v>
      </c>
      <c r="F25" s="40" t="s">
        <v>98</v>
      </c>
      <c r="G25" s="40" t="s">
        <v>497</v>
      </c>
      <c r="H25" s="53">
        <v>45581</v>
      </c>
      <c r="I25" s="53">
        <v>45633</v>
      </c>
      <c r="J25" s="52">
        <f t="shared" si="7"/>
        <v>39</v>
      </c>
      <c r="K25" s="57" t="s">
        <v>570</v>
      </c>
      <c r="L25" s="9">
        <v>1872</v>
      </c>
      <c r="M25" s="9">
        <v>12</v>
      </c>
      <c r="N25" s="9">
        <v>9</v>
      </c>
      <c r="O25" s="9">
        <f t="shared" si="5"/>
        <v>3</v>
      </c>
      <c r="P25" s="9">
        <v>22</v>
      </c>
      <c r="Q25" s="9" t="s">
        <v>515</v>
      </c>
      <c r="R25" t="s">
        <v>571</v>
      </c>
    </row>
    <row r="26" ht="67" hidden="1" customHeight="1" spans="1:18">
      <c r="A26" s="40">
        <v>24</v>
      </c>
      <c r="B26" s="40" t="s">
        <v>494</v>
      </c>
      <c r="C26" s="189" t="s">
        <v>572</v>
      </c>
      <c r="D26" s="196" t="s">
        <v>573</v>
      </c>
      <c r="E26" s="54" t="s">
        <v>124</v>
      </c>
      <c r="F26" s="54" t="s">
        <v>98</v>
      </c>
      <c r="G26" s="40" t="s">
        <v>497</v>
      </c>
      <c r="H26" s="56">
        <v>45615</v>
      </c>
      <c r="I26" s="197">
        <v>45633</v>
      </c>
      <c r="J26" s="198">
        <f t="shared" si="7"/>
        <v>15</v>
      </c>
      <c r="K26" s="67" t="s">
        <v>574</v>
      </c>
      <c r="L26" s="9">
        <v>720</v>
      </c>
      <c r="M26" s="9">
        <v>7</v>
      </c>
      <c r="N26" s="9">
        <v>5</v>
      </c>
      <c r="O26" s="9">
        <f t="shared" si="5"/>
        <v>2</v>
      </c>
      <c r="P26" s="9"/>
      <c r="Q26" s="199" t="s">
        <v>528</v>
      </c>
      <c r="R26" t="s">
        <v>571</v>
      </c>
    </row>
    <row r="27" ht="22" customHeight="1" spans="1:18">
      <c r="A27" s="40">
        <v>25</v>
      </c>
      <c r="B27" s="40" t="s">
        <v>494</v>
      </c>
      <c r="C27" s="191"/>
      <c r="D27" s="15" t="s">
        <v>241</v>
      </c>
      <c r="E27" s="40" t="s">
        <v>233</v>
      </c>
      <c r="F27" s="40" t="s">
        <v>98</v>
      </c>
      <c r="G27" s="40" t="s">
        <v>529</v>
      </c>
      <c r="H27" s="53">
        <v>45601</v>
      </c>
      <c r="I27" s="53">
        <v>45633</v>
      </c>
      <c r="J27" s="52">
        <f t="shared" si="7"/>
        <v>25</v>
      </c>
      <c r="K27" s="200" t="s">
        <v>575</v>
      </c>
      <c r="L27" s="9"/>
      <c r="M27" s="9"/>
      <c r="N27" s="9"/>
      <c r="O27" s="9">
        <f t="shared" si="5"/>
        <v>0</v>
      </c>
      <c r="P27" s="9"/>
      <c r="Q27" s="9" t="s">
        <v>515</v>
      </c>
    </row>
    <row r="28" ht="153" hidden="1" customHeight="1" spans="1:18">
      <c r="A28" s="40">
        <v>26</v>
      </c>
      <c r="B28" s="40" t="s">
        <v>494</v>
      </c>
      <c r="C28" s="189" t="s">
        <v>576</v>
      </c>
      <c r="D28" s="181" t="s">
        <v>577</v>
      </c>
      <c r="E28" s="40" t="s">
        <v>124</v>
      </c>
      <c r="F28" s="40" t="s">
        <v>98</v>
      </c>
      <c r="G28" s="40" t="s">
        <v>529</v>
      </c>
      <c r="H28" s="48">
        <v>45601</v>
      </c>
      <c r="I28" s="53">
        <v>45633</v>
      </c>
      <c r="J28" s="52">
        <f t="shared" si="7"/>
        <v>25</v>
      </c>
      <c r="K28" s="67" t="s">
        <v>578</v>
      </c>
      <c r="L28" s="9">
        <v>400</v>
      </c>
      <c r="M28" s="9">
        <v>6</v>
      </c>
      <c r="N28" s="9">
        <v>4</v>
      </c>
      <c r="O28" s="9">
        <f t="shared" si="5"/>
        <v>2</v>
      </c>
      <c r="P28" s="9">
        <v>5</v>
      </c>
      <c r="Q28" s="181" t="s">
        <v>528</v>
      </c>
      <c r="R28" t="s">
        <v>571</v>
      </c>
    </row>
    <row r="29" ht="88" hidden="1" customHeight="1" spans="1:18">
      <c r="A29" s="40">
        <v>27</v>
      </c>
      <c r="B29" s="40" t="s">
        <v>494</v>
      </c>
      <c r="C29" s="189" t="s">
        <v>576</v>
      </c>
      <c r="D29" s="181" t="s">
        <v>579</v>
      </c>
      <c r="E29" s="40" t="s">
        <v>124</v>
      </c>
      <c r="F29" s="40" t="s">
        <v>98</v>
      </c>
      <c r="G29" s="40" t="s">
        <v>497</v>
      </c>
      <c r="H29" s="48">
        <v>45663</v>
      </c>
      <c r="I29" s="53">
        <v>45672</v>
      </c>
      <c r="J29" s="52">
        <f t="shared" si="7"/>
        <v>8</v>
      </c>
      <c r="K29" s="67" t="s">
        <v>580</v>
      </c>
      <c r="L29" s="9">
        <v>403</v>
      </c>
      <c r="M29" s="9">
        <v>6</v>
      </c>
      <c r="N29" s="9">
        <v>4</v>
      </c>
      <c r="O29" s="9">
        <f t="shared" si="5"/>
        <v>2</v>
      </c>
      <c r="P29" s="9">
        <v>8</v>
      </c>
      <c r="Q29" s="181" t="s">
        <v>498</v>
      </c>
    </row>
    <row r="30" ht="34" customHeight="1" spans="1:18">
      <c r="A30" s="40">
        <v>28</v>
      </c>
      <c r="B30" s="40" t="s">
        <v>494</v>
      </c>
      <c r="C30" s="189"/>
      <c r="D30" s="15" t="s">
        <v>209</v>
      </c>
      <c r="E30" s="40" t="s">
        <v>124</v>
      </c>
      <c r="F30" s="40" t="s">
        <v>98</v>
      </c>
      <c r="G30" s="40" t="s">
        <v>529</v>
      </c>
      <c r="H30" s="48">
        <v>45607</v>
      </c>
      <c r="I30" s="53">
        <v>45633</v>
      </c>
      <c r="J30" s="52">
        <f t="shared" ref="J30:J35" si="8">((I30-H30)+1)-ROUNDDOWN((I30-H30)/7,0)*2</f>
        <v>21</v>
      </c>
      <c r="K30" s="57" t="s">
        <v>581</v>
      </c>
      <c r="L30" s="9">
        <v>1008</v>
      </c>
      <c r="M30" s="9">
        <v>5</v>
      </c>
      <c r="N30" s="9">
        <v>3</v>
      </c>
      <c r="O30" s="9">
        <f t="shared" si="5"/>
        <v>2</v>
      </c>
      <c r="P30" s="9"/>
      <c r="Q30" s="9" t="s">
        <v>515</v>
      </c>
      <c r="R30" t="s">
        <v>571</v>
      </c>
    </row>
    <row r="31" ht="43" hidden="1" customHeight="1" spans="1:18">
      <c r="A31" s="40">
        <v>29</v>
      </c>
      <c r="B31" s="40" t="s">
        <v>494</v>
      </c>
      <c r="C31" s="189"/>
      <c r="D31" s="180" t="s">
        <v>371</v>
      </c>
      <c r="E31" s="40" t="s">
        <v>311</v>
      </c>
      <c r="F31" s="40" t="s">
        <v>242</v>
      </c>
      <c r="G31" s="40" t="s">
        <v>497</v>
      </c>
      <c r="H31" s="40"/>
      <c r="I31" s="40"/>
      <c r="J31" s="52">
        <f t="shared" si="8"/>
        <v>1</v>
      </c>
      <c r="K31" s="67" t="s">
        <v>582</v>
      </c>
      <c r="L31" s="9"/>
      <c r="M31" s="9"/>
      <c r="N31" s="9"/>
      <c r="O31" s="9">
        <f t="shared" si="5"/>
        <v>0</v>
      </c>
      <c r="P31" s="9"/>
      <c r="Q31" s="181" t="s">
        <v>503</v>
      </c>
    </row>
    <row r="32" ht="33" hidden="1" customHeight="1" spans="1:18">
      <c r="A32" s="40">
        <v>30</v>
      </c>
      <c r="B32" s="40" t="s">
        <v>494</v>
      </c>
      <c r="C32" s="191"/>
      <c r="D32" s="180" t="s">
        <v>583</v>
      </c>
      <c r="E32" s="40" t="s">
        <v>93</v>
      </c>
      <c r="F32" s="40" t="s">
        <v>98</v>
      </c>
      <c r="G32" s="40" t="s">
        <v>497</v>
      </c>
      <c r="H32" s="48">
        <v>45642</v>
      </c>
      <c r="I32" s="53">
        <v>45647</v>
      </c>
      <c r="J32" s="52">
        <f t="shared" si="8"/>
        <v>6</v>
      </c>
      <c r="K32" s="57" t="s">
        <v>584</v>
      </c>
      <c r="L32" s="9"/>
      <c r="M32" s="9">
        <v>2</v>
      </c>
      <c r="N32" s="9">
        <v>1</v>
      </c>
      <c r="O32" s="9">
        <f t="shared" ref="O32:O37" si="9">M32-N32</f>
        <v>1</v>
      </c>
      <c r="P32" s="9"/>
      <c r="Q32" s="181" t="s">
        <v>528</v>
      </c>
    </row>
    <row r="33" ht="51" hidden="1" customHeight="1" spans="1:19">
      <c r="A33" s="40">
        <v>31</v>
      </c>
      <c r="B33" s="201" t="s">
        <v>585</v>
      </c>
      <c r="C33" s="188" t="s">
        <v>586</v>
      </c>
      <c r="D33" s="202" t="s">
        <v>587</v>
      </c>
      <c r="E33" s="176" t="s">
        <v>512</v>
      </c>
      <c r="F33" s="176" t="s">
        <v>501</v>
      </c>
      <c r="G33" s="176" t="s">
        <v>497</v>
      </c>
      <c r="H33" s="162">
        <v>45623</v>
      </c>
      <c r="I33" s="53">
        <v>45649</v>
      </c>
      <c r="J33" s="15">
        <f t="shared" si="8"/>
        <v>21</v>
      </c>
      <c r="K33" s="178" t="s">
        <v>588</v>
      </c>
      <c r="L33" s="9" t="s">
        <v>589</v>
      </c>
      <c r="M33" s="9">
        <v>12</v>
      </c>
      <c r="N33" s="9">
        <v>10</v>
      </c>
      <c r="O33" s="9">
        <f t="shared" si="9"/>
        <v>2</v>
      </c>
      <c r="P33" s="9">
        <v>15</v>
      </c>
      <c r="Q33" s="181" t="s">
        <v>551</v>
      </c>
      <c r="R33" s="194" t="s">
        <v>590</v>
      </c>
    </row>
    <row r="34" ht="91" customHeight="1" spans="1:19">
      <c r="A34" s="40">
        <v>32</v>
      </c>
      <c r="B34" s="201" t="s">
        <v>585</v>
      </c>
      <c r="C34" s="188" t="s">
        <v>591</v>
      </c>
      <c r="D34" s="52" t="s">
        <v>592</v>
      </c>
      <c r="E34" s="15" t="s">
        <v>593</v>
      </c>
      <c r="F34" s="176" t="s">
        <v>501</v>
      </c>
      <c r="G34" s="203" t="s">
        <v>497</v>
      </c>
      <c r="H34" s="53">
        <v>45616</v>
      </c>
      <c r="I34" s="53">
        <v>45649</v>
      </c>
      <c r="J34" s="15">
        <f t="shared" ref="J34:J37" si="10">((I34-H34)+1)-ROUNDDOWN((I34-H34)/7,0)*2</f>
        <v>26</v>
      </c>
      <c r="K34" s="67" t="s">
        <v>521</v>
      </c>
      <c r="L34" s="9" t="s">
        <v>594</v>
      </c>
      <c r="M34" s="9">
        <v>2</v>
      </c>
      <c r="N34" s="9">
        <v>1</v>
      </c>
      <c r="O34" s="9">
        <v>1</v>
      </c>
      <c r="P34" s="9">
        <v>7</v>
      </c>
      <c r="Q34" s="52" t="s">
        <v>521</v>
      </c>
      <c r="R34" t="s">
        <v>595</v>
      </c>
    </row>
    <row r="35" ht="45" customHeight="1" spans="1:19">
      <c r="A35" s="40">
        <v>33</v>
      </c>
      <c r="B35" s="176" t="s">
        <v>494</v>
      </c>
      <c r="C35" s="179" t="s">
        <v>596</v>
      </c>
      <c r="D35" s="204" t="s">
        <v>314</v>
      </c>
      <c r="E35" s="15" t="s">
        <v>311</v>
      </c>
      <c r="F35" s="15" t="s">
        <v>315</v>
      </c>
      <c r="G35" s="15" t="s">
        <v>497</v>
      </c>
      <c r="H35" s="53">
        <v>45619</v>
      </c>
      <c r="I35" s="53">
        <v>45673</v>
      </c>
      <c r="J35" s="15">
        <f t="shared" si="10"/>
        <v>41</v>
      </c>
      <c r="K35" s="59" t="s">
        <v>597</v>
      </c>
      <c r="L35" s="9" t="s">
        <v>598</v>
      </c>
      <c r="M35" s="9">
        <v>1</v>
      </c>
      <c r="N35" s="9"/>
      <c r="O35" s="9">
        <f t="shared" si="9"/>
        <v>1</v>
      </c>
      <c r="P35" s="9">
        <v>41</v>
      </c>
      <c r="Q35" s="52" t="s">
        <v>515</v>
      </c>
      <c r="R35" t="s">
        <v>599</v>
      </c>
    </row>
    <row r="36" ht="63" customHeight="1" spans="1:19">
      <c r="A36" s="40">
        <v>34</v>
      </c>
      <c r="B36" s="201" t="s">
        <v>585</v>
      </c>
      <c r="C36" s="205" t="s">
        <v>600</v>
      </c>
      <c r="D36" s="206" t="s">
        <v>601</v>
      </c>
      <c r="E36" s="201" t="s">
        <v>593</v>
      </c>
      <c r="F36" s="201" t="s">
        <v>501</v>
      </c>
      <c r="G36" s="206" t="s">
        <v>497</v>
      </c>
      <c r="H36" s="207">
        <v>45628</v>
      </c>
      <c r="I36" s="207">
        <v>45649</v>
      </c>
      <c r="J36" s="45">
        <f t="shared" si="10"/>
        <v>16</v>
      </c>
      <c r="K36" s="69" t="s">
        <v>602</v>
      </c>
      <c r="L36" s="46">
        <v>1670</v>
      </c>
      <c r="M36" s="46"/>
      <c r="N36" s="46"/>
      <c r="O36" s="46">
        <f t="shared" si="9"/>
        <v>0</v>
      </c>
      <c r="P36" s="46">
        <v>16</v>
      </c>
      <c r="Q36" s="52" t="s">
        <v>515</v>
      </c>
      <c r="R36" t="s">
        <v>595</v>
      </c>
      <c r="S36" t="s">
        <v>603</v>
      </c>
    </row>
    <row r="37" ht="63" customHeight="1" spans="1:19">
      <c r="A37" s="40">
        <v>35</v>
      </c>
      <c r="B37" s="201" t="s">
        <v>585</v>
      </c>
      <c r="C37" s="205" t="s">
        <v>600</v>
      </c>
      <c r="D37" s="208" t="s">
        <v>604</v>
      </c>
      <c r="E37" s="201" t="s">
        <v>593</v>
      </c>
      <c r="F37" s="201" t="s">
        <v>501</v>
      </c>
      <c r="G37" s="206" t="s">
        <v>497</v>
      </c>
      <c r="H37" s="207"/>
      <c r="I37" s="207"/>
      <c r="J37" s="45"/>
      <c r="K37" s="69"/>
      <c r="L37" s="46"/>
      <c r="M37" s="46"/>
      <c r="N37" s="46"/>
      <c r="O37" s="46"/>
      <c r="P37" s="46"/>
      <c r="Q37" s="52"/>
      <c r="R37" t="s">
        <v>595</v>
      </c>
      <c r="S37" t="s">
        <v>603</v>
      </c>
    </row>
    <row r="38" ht="58" customHeight="1" spans="1:19">
      <c r="A38" s="40">
        <v>36</v>
      </c>
      <c r="B38" s="201" t="s">
        <v>585</v>
      </c>
      <c r="C38" s="209" t="s">
        <v>605</v>
      </c>
      <c r="D38" s="15" t="s">
        <v>606</v>
      </c>
      <c r="E38" s="176" t="s">
        <v>593</v>
      </c>
      <c r="F38" s="176" t="s">
        <v>501</v>
      </c>
      <c r="G38" s="15" t="s">
        <v>497</v>
      </c>
      <c r="H38" s="53">
        <v>45644</v>
      </c>
      <c r="I38" s="53">
        <v>45649</v>
      </c>
      <c r="J38" s="45">
        <f>((I38-H38)+1)-ROUNDDOWN((I38-H38)/7,0)*2</f>
        <v>6</v>
      </c>
      <c r="K38" s="67" t="s">
        <v>607</v>
      </c>
      <c r="L38" s="9">
        <v>6971</v>
      </c>
      <c r="M38" s="9"/>
      <c r="N38" s="9"/>
      <c r="O38" s="9"/>
      <c r="P38" s="9">
        <v>6</v>
      </c>
      <c r="Q38" s="46" t="s">
        <v>515</v>
      </c>
    </row>
    <row r="39" ht="49" hidden="1" customHeight="1" spans="1:19">
      <c r="A39" s="40">
        <v>37</v>
      </c>
      <c r="B39" s="201" t="s">
        <v>585</v>
      </c>
      <c r="C39" s="209" t="s">
        <v>608</v>
      </c>
      <c r="D39" s="182" t="s">
        <v>609</v>
      </c>
      <c r="E39" s="176" t="s">
        <v>593</v>
      </c>
      <c r="F39" s="176" t="s">
        <v>501</v>
      </c>
      <c r="G39" s="15" t="s">
        <v>497</v>
      </c>
      <c r="H39" s="53">
        <v>45644</v>
      </c>
      <c r="I39" s="53">
        <v>45649</v>
      </c>
      <c r="J39" s="15">
        <f>((I39-H39)+1)-ROUNDDOWN((I39-H39)/7,0)*2</f>
        <v>6</v>
      </c>
      <c r="K39" s="67" t="s">
        <v>610</v>
      </c>
      <c r="L39" s="9" t="s">
        <v>611</v>
      </c>
      <c r="M39" s="9">
        <v>1</v>
      </c>
      <c r="N39" s="9"/>
      <c r="O39" s="9">
        <f>M39-N39</f>
        <v>1</v>
      </c>
      <c r="P39" s="9">
        <v>18</v>
      </c>
      <c r="Q39" s="210" t="s">
        <v>551</v>
      </c>
    </row>
    <row r="40" ht="46" hidden="1" customHeight="1" spans="1:19">
      <c r="A40" s="40">
        <v>38</v>
      </c>
      <c r="B40" s="176" t="s">
        <v>585</v>
      </c>
      <c r="C40" s="209" t="s">
        <v>612</v>
      </c>
      <c r="D40" s="182" t="s">
        <v>613</v>
      </c>
      <c r="E40" s="176" t="s">
        <v>614</v>
      </c>
      <c r="F40" s="176" t="s">
        <v>615</v>
      </c>
      <c r="G40" s="15" t="s">
        <v>497</v>
      </c>
      <c r="H40" s="53">
        <v>45644</v>
      </c>
      <c r="I40" s="53">
        <v>45649</v>
      </c>
      <c r="J40" s="15">
        <f>((I40-H40)+1)-ROUNDDOWN((I40-H40)/7,0)*2</f>
        <v>6</v>
      </c>
      <c r="K40" s="57" t="s">
        <v>616</v>
      </c>
      <c r="L40" s="9">
        <v>4781</v>
      </c>
      <c r="M40" s="9">
        <v>2</v>
      </c>
      <c r="N40" s="9">
        <v>1</v>
      </c>
      <c r="O40" s="9">
        <f>M40-N40</f>
        <v>1</v>
      </c>
      <c r="P40" s="9"/>
      <c r="Q40" s="181" t="s">
        <v>551</v>
      </c>
    </row>
    <row r="41" customHeight="1" spans="1:19">
      <c r="K41" s="79" t="s">
        <v>617</v>
      </c>
    </row>
    <row r="42" customHeight="1" spans="1:19">
      <c r="K42" s="79" t="s">
        <v>618</v>
      </c>
    </row>
  </sheetData>
  <autoFilter xmlns:etc="http://www.wps.cn/officeDocument/2017/etCustomData" ref="A2:Q42" etc:filterBottomFollowUsedRange="0">
    <filterColumn colId="16">
      <filters blank="1">
        <filter val="未通过"/>
        <filter val="2.0迭代中"/>
      </filters>
    </filterColumn>
    <extLst/>
  </autoFilter>
  <mergeCells count="8">
    <mergeCell ref="A1:Q1"/>
    <mergeCell ref="C9:C11"/>
    <mergeCell ref="C15:C17"/>
    <mergeCell ref="C18:C19"/>
    <mergeCell ref="C20:C21"/>
    <mergeCell ref="C22:C23"/>
    <mergeCell ref="C26:C27"/>
    <mergeCell ref="C28:C3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5"/>
  <sheetViews>
    <sheetView tabSelected="1" zoomScale="55" zoomScaleNormal="55" topLeftCell="C1" workbookViewId="0">
      <pane ySplit="3" topLeftCell="A91" activePane="bottomLeft" state="frozen"/>
      <selection/>
      <selection pane="bottomLeft" activeCell="E96" sqref="E96"/>
    </sheetView>
  </sheetViews>
  <sheetFormatPr defaultColWidth="8.88888888888889" defaultRowHeight="30" customHeight="1"/>
  <cols>
    <col min="1" max="1" width="5.55555555555556" style="1" customWidth="1"/>
    <col min="2" max="2" width="12.0648148148148" style="1" customWidth="1"/>
    <col min="3" max="3" width="26.3518518518519" style="1" customWidth="1"/>
    <col min="4" max="4" width="39.2037037037037" style="78" customWidth="1"/>
    <col min="5" max="5" width="16.8148148148148" style="1" customWidth="1"/>
    <col min="6" max="6" width="9.33333333333333" style="1" customWidth="1"/>
    <col min="7" max="7" width="10" style="1" customWidth="1"/>
    <col min="8" max="8" width="12.6944444444444" style="1" customWidth="1"/>
    <col min="9" max="10" width="17.1388888888889" style="1" customWidth="1"/>
    <col min="11" max="11" width="8.25" style="2" customWidth="1"/>
    <col min="12" max="12" width="47.2685185185185" style="79" customWidth="1"/>
    <col min="13" max="13" width="15.5555555555556" style="2" customWidth="1"/>
    <col min="14" max="14" width="7.33333333333333" style="2" customWidth="1"/>
    <col min="15" max="15" width="9.55555555555556" style="2" customWidth="1"/>
    <col min="16" max="16" width="8.44444444444444" style="2" customWidth="1"/>
    <col min="17" max="17" width="11.7777777777778" style="2" customWidth="1"/>
    <col min="18" max="18" width="13.5555555555556" style="2" customWidth="1"/>
    <col min="19" max="19" width="18.9907407407407" style="1" customWidth="1"/>
    <col min="20" max="20" width="12.5277777777778" style="80" customWidth="1"/>
    <col min="21" max="21" width="25.75" customWidth="1"/>
    <col min="22" max="22" width="30.9074074074074" style="81" customWidth="1"/>
    <col min="23" max="23" width="23.4074074074074" style="82" customWidth="1"/>
    <col min="24" max="24" width="20.8981481481481" customWidth="1"/>
  </cols>
  <sheetData>
    <row r="1" customFormat="1" ht="47" customHeight="1" spans="1:23">
      <c r="A1" s="83" t="s">
        <v>619</v>
      </c>
      <c r="B1" s="83"/>
      <c r="C1" s="83"/>
      <c r="D1" s="84"/>
      <c r="E1" s="83"/>
      <c r="F1" s="83"/>
      <c r="G1" s="83"/>
      <c r="H1" s="83"/>
      <c r="I1" s="83"/>
      <c r="J1" s="83"/>
      <c r="K1" s="85"/>
      <c r="L1" s="83"/>
      <c r="M1" s="46"/>
      <c r="N1" s="46"/>
      <c r="O1" s="46"/>
      <c r="P1" s="46"/>
      <c r="Q1" s="46"/>
      <c r="R1" s="83"/>
      <c r="S1" s="1"/>
      <c r="T1" s="80"/>
      <c r="V1" s="81"/>
      <c r="W1" s="82"/>
    </row>
    <row r="2" customFormat="1" ht="47" customHeight="1" spans="1:23">
      <c r="A2" s="84" t="s">
        <v>620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6"/>
      <c r="V2" s="81"/>
      <c r="W2" s="82"/>
    </row>
    <row r="3" customFormat="1" customHeight="1" spans="1:23">
      <c r="A3" s="87" t="s">
        <v>0</v>
      </c>
      <c r="B3" s="87" t="s">
        <v>621</v>
      </c>
      <c r="C3" s="87" t="s">
        <v>622</v>
      </c>
      <c r="D3" s="87" t="s">
        <v>3</v>
      </c>
      <c r="E3" s="88" t="s">
        <v>481</v>
      </c>
      <c r="F3" s="88" t="s">
        <v>482</v>
      </c>
      <c r="G3" s="87" t="s">
        <v>483</v>
      </c>
      <c r="H3" s="88" t="s">
        <v>623</v>
      </c>
      <c r="I3" s="87" t="s">
        <v>484</v>
      </c>
      <c r="J3" s="87" t="s">
        <v>485</v>
      </c>
      <c r="K3" s="88" t="s">
        <v>486</v>
      </c>
      <c r="L3" s="89" t="s">
        <v>487</v>
      </c>
      <c r="M3" s="55" t="s">
        <v>488</v>
      </c>
      <c r="N3" s="55" t="s">
        <v>489</v>
      </c>
      <c r="O3" s="55" t="s">
        <v>490</v>
      </c>
      <c r="P3" s="55" t="s">
        <v>491</v>
      </c>
      <c r="Q3" s="55" t="s">
        <v>492</v>
      </c>
      <c r="R3" s="88" t="s">
        <v>493</v>
      </c>
      <c r="S3" s="54" t="s">
        <v>624</v>
      </c>
      <c r="T3" s="90" t="s">
        <v>625</v>
      </c>
      <c r="U3" s="82" t="s">
        <v>626</v>
      </c>
      <c r="W3" s="91" t="s">
        <v>627</v>
      </c>
    </row>
    <row r="4" ht="52" customHeight="1" spans="1:23">
      <c r="A4" s="91">
        <v>1</v>
      </c>
      <c r="B4" s="91" t="s">
        <v>494</v>
      </c>
      <c r="C4" s="92"/>
      <c r="D4" s="93" t="s">
        <v>628</v>
      </c>
      <c r="E4" s="94" t="s">
        <v>233</v>
      </c>
      <c r="F4" s="94" t="s">
        <v>501</v>
      </c>
      <c r="G4" s="95" t="s">
        <v>497</v>
      </c>
      <c r="H4" s="95"/>
      <c r="I4" s="96">
        <v>45629</v>
      </c>
      <c r="J4" s="96">
        <v>45635</v>
      </c>
      <c r="K4" s="97">
        <f>((J4-I4)+1)-ROUNDDOWN((J4-I4)/7,0)*2</f>
        <v>7</v>
      </c>
      <c r="L4" s="98" t="s">
        <v>502</v>
      </c>
      <c r="M4" s="99">
        <v>1371</v>
      </c>
      <c r="N4" s="99">
        <v>3</v>
      </c>
      <c r="O4" s="99">
        <v>2</v>
      </c>
      <c r="P4" s="99">
        <f>N4-O4</f>
        <v>1</v>
      </c>
      <c r="Q4" s="99"/>
      <c r="R4" s="100" t="s">
        <v>503</v>
      </c>
      <c r="S4" s="101">
        <v>45637</v>
      </c>
      <c r="T4" s="102"/>
      <c r="U4" s="82"/>
    </row>
    <row r="5" customFormat="1" customHeight="1" spans="1:23">
      <c r="A5" s="91">
        <v>2</v>
      </c>
      <c r="B5" s="91" t="s">
        <v>494</v>
      </c>
      <c r="C5" s="103"/>
      <c r="D5" s="93" t="s">
        <v>629</v>
      </c>
      <c r="E5" s="91" t="s">
        <v>93</v>
      </c>
      <c r="F5" s="91" t="s">
        <v>98</v>
      </c>
      <c r="G5" s="95" t="s">
        <v>497</v>
      </c>
      <c r="H5" s="95"/>
      <c r="I5" s="96">
        <v>45628</v>
      </c>
      <c r="J5" s="96">
        <v>45637</v>
      </c>
      <c r="K5" s="104">
        <f>((J5-I5)+1)-ROUNDDOWN((J5-I5)/7,0)*2</f>
        <v>8</v>
      </c>
      <c r="L5" s="105" t="s">
        <v>524</v>
      </c>
      <c r="M5" s="99">
        <v>315</v>
      </c>
      <c r="N5" s="99">
        <v>5</v>
      </c>
      <c r="O5" s="99">
        <v>5</v>
      </c>
      <c r="P5" s="99">
        <f>N5-O5</f>
        <v>0</v>
      </c>
      <c r="Q5" s="99">
        <v>8</v>
      </c>
      <c r="R5" s="100" t="s">
        <v>503</v>
      </c>
      <c r="S5" s="106"/>
      <c r="T5" s="107"/>
      <c r="U5" s="82"/>
      <c r="V5" s="81"/>
      <c r="W5" s="82"/>
    </row>
    <row r="6" ht="36" customHeight="1" spans="1:23">
      <c r="A6" s="91">
        <v>3</v>
      </c>
      <c r="B6" s="91" t="s">
        <v>494</v>
      </c>
      <c r="C6" s="108"/>
      <c r="D6" s="109" t="s">
        <v>630</v>
      </c>
      <c r="E6" s="91" t="s">
        <v>20</v>
      </c>
      <c r="F6" s="91" t="s">
        <v>242</v>
      </c>
      <c r="G6" s="91" t="s">
        <v>497</v>
      </c>
      <c r="H6" s="91"/>
      <c r="I6" s="96">
        <v>45621</v>
      </c>
      <c r="J6" s="96">
        <v>45633</v>
      </c>
      <c r="K6" s="104">
        <f>((J6-I6)+1)-ROUNDDOWN((J6-I6)/7,0)*2</f>
        <v>11</v>
      </c>
      <c r="L6" s="105" t="s">
        <v>544</v>
      </c>
      <c r="M6" s="99"/>
      <c r="N6" s="99">
        <v>1</v>
      </c>
      <c r="O6" s="99">
        <v>1</v>
      </c>
      <c r="P6" s="99">
        <f>N6-O6</f>
        <v>0</v>
      </c>
      <c r="Q6" s="99"/>
      <c r="R6" s="100" t="s">
        <v>503</v>
      </c>
      <c r="S6" s="106"/>
      <c r="T6" s="107"/>
      <c r="U6" s="82"/>
    </row>
    <row r="7" customFormat="1" customHeight="1" spans="1:23">
      <c r="A7" s="91">
        <v>4</v>
      </c>
      <c r="B7" s="91" t="s">
        <v>494</v>
      </c>
      <c r="C7" s="92"/>
      <c r="D7" s="93" t="s">
        <v>383</v>
      </c>
      <c r="E7" s="91" t="s">
        <v>389</v>
      </c>
      <c r="F7" s="91" t="s">
        <v>566</v>
      </c>
      <c r="G7" s="91" t="s">
        <v>497</v>
      </c>
      <c r="H7" s="91"/>
      <c r="I7" s="96">
        <v>45590</v>
      </c>
      <c r="J7" s="96">
        <v>45633</v>
      </c>
      <c r="K7" s="104">
        <f>((J7-I7)+1)-ROUNDDOWN((J7-I7)/7,0)*2</f>
        <v>32</v>
      </c>
      <c r="L7" s="105" t="s">
        <v>567</v>
      </c>
      <c r="M7" s="99">
        <v>11325</v>
      </c>
      <c r="N7" s="99">
        <v>1</v>
      </c>
      <c r="O7" s="99">
        <v>1</v>
      </c>
      <c r="P7" s="99">
        <f>N7-O7</f>
        <v>0</v>
      </c>
      <c r="Q7" s="99">
        <v>15</v>
      </c>
      <c r="R7" s="100" t="s">
        <v>503</v>
      </c>
      <c r="S7" s="106"/>
      <c r="T7" s="107"/>
      <c r="U7" s="82"/>
      <c r="V7" s="81"/>
      <c r="W7" s="82"/>
    </row>
    <row r="8" customFormat="1" ht="46" customHeight="1" spans="1:23">
      <c r="A8" s="91">
        <v>5</v>
      </c>
      <c r="B8" s="91" t="s">
        <v>494</v>
      </c>
      <c r="C8" s="110"/>
      <c r="D8" s="111" t="s">
        <v>371</v>
      </c>
      <c r="E8" s="91" t="s">
        <v>311</v>
      </c>
      <c r="F8" s="91" t="s">
        <v>242</v>
      </c>
      <c r="G8" s="91" t="s">
        <v>497</v>
      </c>
      <c r="H8" s="91"/>
      <c r="I8" s="91"/>
      <c r="J8" s="91"/>
      <c r="K8" s="104">
        <f>((J8-I8)+1)-ROUNDDOWN((J8-I8)/7,0)*2</f>
        <v>1</v>
      </c>
      <c r="L8" s="105" t="s">
        <v>631</v>
      </c>
      <c r="M8" s="99"/>
      <c r="N8" s="99"/>
      <c r="O8" s="99"/>
      <c r="P8" s="99">
        <f>N8-O8</f>
        <v>0</v>
      </c>
      <c r="Q8" s="99"/>
      <c r="R8" s="100" t="s">
        <v>503</v>
      </c>
      <c r="S8" s="112"/>
      <c r="T8" s="113"/>
      <c r="U8" s="82"/>
      <c r="V8" s="81"/>
      <c r="W8" s="82"/>
    </row>
    <row r="9" customFormat="1" ht="67" customHeight="1" spans="1:23">
      <c r="A9" s="91">
        <v>6</v>
      </c>
      <c r="B9" s="91" t="s">
        <v>494</v>
      </c>
      <c r="C9" s="110"/>
      <c r="D9" s="114" t="s">
        <v>525</v>
      </c>
      <c r="E9" s="91" t="s">
        <v>233</v>
      </c>
      <c r="F9" s="115" t="s">
        <v>501</v>
      </c>
      <c r="G9" s="95" t="s">
        <v>497</v>
      </c>
      <c r="H9" s="95"/>
      <c r="I9" s="96">
        <v>45621</v>
      </c>
      <c r="J9" s="96">
        <v>45649</v>
      </c>
      <c r="K9" s="91">
        <v>21</v>
      </c>
      <c r="L9" s="105" t="s">
        <v>526</v>
      </c>
      <c r="M9" s="99" t="s">
        <v>527</v>
      </c>
      <c r="N9" s="99"/>
      <c r="O9" s="99"/>
      <c r="P9" s="99">
        <v>0</v>
      </c>
      <c r="Q9" s="99">
        <v>15</v>
      </c>
      <c r="R9" s="116" t="s">
        <v>528</v>
      </c>
      <c r="S9" s="101">
        <v>45651</v>
      </c>
      <c r="T9" s="102"/>
      <c r="U9" s="82"/>
      <c r="V9" s="81"/>
      <c r="W9" s="82"/>
    </row>
    <row r="10" customFormat="1" ht="61" customHeight="1" spans="1:23">
      <c r="A10" s="91">
        <v>7</v>
      </c>
      <c r="B10" s="91" t="s">
        <v>494</v>
      </c>
      <c r="C10" s="117"/>
      <c r="D10" s="111" t="s">
        <v>97</v>
      </c>
      <c r="E10" s="91" t="s">
        <v>93</v>
      </c>
      <c r="F10" s="91" t="s">
        <v>98</v>
      </c>
      <c r="G10" s="97" t="s">
        <v>497</v>
      </c>
      <c r="H10" s="97"/>
      <c r="I10" s="96">
        <v>45621</v>
      </c>
      <c r="J10" s="96">
        <v>45649</v>
      </c>
      <c r="K10" s="104">
        <v>21</v>
      </c>
      <c r="L10" s="105" t="s">
        <v>540</v>
      </c>
      <c r="M10" s="99"/>
      <c r="N10" s="99">
        <v>7</v>
      </c>
      <c r="O10" s="99">
        <v>6</v>
      </c>
      <c r="P10" s="99">
        <v>1</v>
      </c>
      <c r="Q10" s="99">
        <v>5</v>
      </c>
      <c r="R10" s="116" t="s">
        <v>528</v>
      </c>
      <c r="S10" s="106"/>
      <c r="T10" s="107"/>
      <c r="U10" s="82"/>
      <c r="V10" s="81"/>
      <c r="W10" s="82"/>
    </row>
    <row r="11" ht="82" customHeight="1" spans="1:23">
      <c r="A11" s="91">
        <v>8</v>
      </c>
      <c r="B11" s="91" t="s">
        <v>494</v>
      </c>
      <c r="C11" s="110"/>
      <c r="D11" s="118" t="s">
        <v>632</v>
      </c>
      <c r="E11" s="119" t="s">
        <v>124</v>
      </c>
      <c r="F11" s="119" t="s">
        <v>98</v>
      </c>
      <c r="G11" s="91" t="s">
        <v>497</v>
      </c>
      <c r="H11" s="119"/>
      <c r="I11" s="112">
        <v>45615</v>
      </c>
      <c r="J11" s="120">
        <v>45651</v>
      </c>
      <c r="K11" s="121">
        <v>15</v>
      </c>
      <c r="L11" s="105" t="s">
        <v>633</v>
      </c>
      <c r="M11" s="99">
        <v>720</v>
      </c>
      <c r="N11" s="99">
        <v>7</v>
      </c>
      <c r="O11" s="99">
        <v>5</v>
      </c>
      <c r="P11" s="99">
        <v>2</v>
      </c>
      <c r="Q11" s="99"/>
      <c r="R11" s="122" t="s">
        <v>528</v>
      </c>
      <c r="S11" s="106"/>
      <c r="T11" s="107"/>
      <c r="U11" s="82"/>
    </row>
    <row r="12" ht="89" customHeight="1" spans="1:23">
      <c r="A12" s="91">
        <v>9</v>
      </c>
      <c r="B12" s="91" t="s">
        <v>494</v>
      </c>
      <c r="C12" s="110"/>
      <c r="D12" s="123" t="s">
        <v>634</v>
      </c>
      <c r="E12" s="91" t="s">
        <v>124</v>
      </c>
      <c r="F12" s="91" t="s">
        <v>98</v>
      </c>
      <c r="G12" s="91" t="s">
        <v>529</v>
      </c>
      <c r="H12" s="91"/>
      <c r="I12" s="124">
        <v>45601</v>
      </c>
      <c r="J12" s="96">
        <v>45633</v>
      </c>
      <c r="K12" s="104">
        <v>25</v>
      </c>
      <c r="L12" s="105" t="s">
        <v>635</v>
      </c>
      <c r="M12" s="99">
        <v>400</v>
      </c>
      <c r="N12" s="99">
        <v>6</v>
      </c>
      <c r="O12" s="99">
        <v>4</v>
      </c>
      <c r="P12" s="99">
        <v>2</v>
      </c>
      <c r="Q12" s="99">
        <v>5</v>
      </c>
      <c r="R12" s="116" t="s">
        <v>528</v>
      </c>
      <c r="S12" s="106"/>
      <c r="T12" s="107"/>
      <c r="U12" s="82"/>
    </row>
    <row r="13" customFormat="1" ht="50" customHeight="1" spans="1:23">
      <c r="A13" s="91">
        <v>10</v>
      </c>
      <c r="B13" s="91" t="s">
        <v>494</v>
      </c>
      <c r="C13" s="108"/>
      <c r="D13" s="125" t="s">
        <v>636</v>
      </c>
      <c r="E13" s="91" t="s">
        <v>93</v>
      </c>
      <c r="F13" s="91" t="s">
        <v>98</v>
      </c>
      <c r="G13" s="91" t="s">
        <v>497</v>
      </c>
      <c r="H13" s="91"/>
      <c r="I13" s="124">
        <v>45642</v>
      </c>
      <c r="J13" s="96">
        <v>45647</v>
      </c>
      <c r="K13" s="104">
        <v>6</v>
      </c>
      <c r="L13" s="105" t="s">
        <v>584</v>
      </c>
      <c r="M13" s="99"/>
      <c r="N13" s="99">
        <v>2</v>
      </c>
      <c r="O13" s="99">
        <v>1</v>
      </c>
      <c r="P13" s="99">
        <v>1</v>
      </c>
      <c r="Q13" s="99"/>
      <c r="R13" s="116" t="s">
        <v>528</v>
      </c>
      <c r="S13" s="112"/>
      <c r="T13" s="113"/>
      <c r="U13" s="82"/>
      <c r="V13" s="81"/>
      <c r="W13" s="82"/>
    </row>
    <row r="14" customHeight="1" spans="1:23">
      <c r="A14" s="91">
        <v>11</v>
      </c>
      <c r="B14" s="91" t="s">
        <v>494</v>
      </c>
      <c r="C14" s="108"/>
      <c r="D14" s="93" t="s">
        <v>548</v>
      </c>
      <c r="E14" s="91" t="s">
        <v>93</v>
      </c>
      <c r="F14" s="91" t="s">
        <v>98</v>
      </c>
      <c r="G14" s="91" t="s">
        <v>497</v>
      </c>
      <c r="H14" s="91"/>
      <c r="I14" s="96">
        <v>45595</v>
      </c>
      <c r="J14" s="96">
        <v>45633</v>
      </c>
      <c r="K14" s="104">
        <v>29</v>
      </c>
      <c r="L14" s="105" t="s">
        <v>549</v>
      </c>
      <c r="M14" s="119" t="s">
        <v>550</v>
      </c>
      <c r="N14" s="99">
        <v>9</v>
      </c>
      <c r="O14" s="99">
        <v>9</v>
      </c>
      <c r="P14" s="99">
        <v>0</v>
      </c>
      <c r="Q14" s="99"/>
      <c r="R14" s="116" t="s">
        <v>551</v>
      </c>
      <c r="S14" s="101">
        <v>45667</v>
      </c>
      <c r="T14" s="102"/>
      <c r="U14" s="82"/>
    </row>
    <row r="15" customHeight="1" spans="1:23">
      <c r="A15" s="91">
        <v>12</v>
      </c>
      <c r="B15" s="91" t="s">
        <v>494</v>
      </c>
      <c r="C15" s="103"/>
      <c r="D15" s="109" t="s">
        <v>342</v>
      </c>
      <c r="E15" s="91" t="s">
        <v>311</v>
      </c>
      <c r="F15" s="91" t="s">
        <v>242</v>
      </c>
      <c r="G15" s="91" t="s">
        <v>497</v>
      </c>
      <c r="H15" s="91"/>
      <c r="I15" s="96">
        <v>45601</v>
      </c>
      <c r="J15" s="96">
        <v>45633</v>
      </c>
      <c r="K15" s="104">
        <v>33</v>
      </c>
      <c r="L15" s="126" t="s">
        <v>553</v>
      </c>
      <c r="M15" s="99" t="s">
        <v>554</v>
      </c>
      <c r="N15" s="99">
        <v>1</v>
      </c>
      <c r="O15" s="99">
        <v>1</v>
      </c>
      <c r="P15" s="99">
        <v>0</v>
      </c>
      <c r="Q15" s="99">
        <v>18</v>
      </c>
      <c r="R15" s="116" t="s">
        <v>551</v>
      </c>
      <c r="S15" s="127"/>
      <c r="T15" s="107"/>
      <c r="U15" s="82"/>
    </row>
    <row r="16" customHeight="1" spans="1:23">
      <c r="A16" s="91">
        <v>13</v>
      </c>
      <c r="B16" s="91" t="s">
        <v>494</v>
      </c>
      <c r="C16" s="108"/>
      <c r="D16" s="109" t="s">
        <v>555</v>
      </c>
      <c r="E16" s="91" t="s">
        <v>311</v>
      </c>
      <c r="F16" s="91" t="s">
        <v>242</v>
      </c>
      <c r="G16" s="91" t="s">
        <v>497</v>
      </c>
      <c r="H16" s="91"/>
      <c r="I16" s="96">
        <v>45624</v>
      </c>
      <c r="J16" s="96">
        <v>45633</v>
      </c>
      <c r="K16" s="104">
        <v>8</v>
      </c>
      <c r="L16" s="126" t="s">
        <v>556</v>
      </c>
      <c r="M16" s="99" t="s">
        <v>557</v>
      </c>
      <c r="N16" s="99">
        <v>4</v>
      </c>
      <c r="O16" s="99">
        <v>4</v>
      </c>
      <c r="P16" s="99">
        <v>0</v>
      </c>
      <c r="Q16" s="99">
        <v>18</v>
      </c>
      <c r="R16" s="116" t="s">
        <v>551</v>
      </c>
      <c r="S16" s="127"/>
      <c r="T16" s="107"/>
      <c r="U16" s="82"/>
    </row>
    <row r="17" customHeight="1" spans="1:23">
      <c r="A17" s="91">
        <v>14</v>
      </c>
      <c r="B17" s="91" t="s">
        <v>494</v>
      </c>
      <c r="C17" s="110"/>
      <c r="D17" s="109" t="s">
        <v>329</v>
      </c>
      <c r="E17" s="91" t="s">
        <v>311</v>
      </c>
      <c r="F17" s="91" t="s">
        <v>242</v>
      </c>
      <c r="G17" s="91" t="s">
        <v>497</v>
      </c>
      <c r="H17" s="91"/>
      <c r="I17" s="96">
        <v>45601</v>
      </c>
      <c r="J17" s="96">
        <v>45621</v>
      </c>
      <c r="K17" s="104">
        <v>21</v>
      </c>
      <c r="L17" s="126" t="s">
        <v>562</v>
      </c>
      <c r="M17" s="99" t="s">
        <v>563</v>
      </c>
      <c r="N17" s="99">
        <v>1</v>
      </c>
      <c r="O17" s="99">
        <v>1</v>
      </c>
      <c r="P17" s="99">
        <v>0</v>
      </c>
      <c r="Q17" s="99">
        <v>18</v>
      </c>
      <c r="R17" s="116" t="s">
        <v>551</v>
      </c>
      <c r="S17" s="127"/>
      <c r="T17" s="107"/>
      <c r="U17" s="82"/>
    </row>
    <row r="18" customHeight="1" spans="1:23">
      <c r="A18" s="91">
        <v>15</v>
      </c>
      <c r="B18" s="128" t="s">
        <v>585</v>
      </c>
      <c r="C18" s="103"/>
      <c r="D18" s="129" t="s">
        <v>587</v>
      </c>
      <c r="E18" s="94" t="s">
        <v>512</v>
      </c>
      <c r="F18" s="94" t="s">
        <v>501</v>
      </c>
      <c r="G18" s="94" t="s">
        <v>497</v>
      </c>
      <c r="H18" s="94"/>
      <c r="I18" s="130">
        <v>45623</v>
      </c>
      <c r="J18" s="96">
        <v>45649</v>
      </c>
      <c r="K18" s="97">
        <v>21</v>
      </c>
      <c r="L18" s="131" t="s">
        <v>588</v>
      </c>
      <c r="M18" s="99" t="s">
        <v>589</v>
      </c>
      <c r="N18" s="99">
        <v>12</v>
      </c>
      <c r="O18" s="99">
        <v>10</v>
      </c>
      <c r="P18" s="99">
        <v>2</v>
      </c>
      <c r="Q18" s="99">
        <v>15</v>
      </c>
      <c r="R18" s="116" t="s">
        <v>551</v>
      </c>
      <c r="S18" s="127"/>
      <c r="T18" s="107"/>
      <c r="U18" s="82"/>
    </row>
    <row r="19" customHeight="1" spans="1:23">
      <c r="A19" s="91">
        <v>16</v>
      </c>
      <c r="B19" s="128" t="s">
        <v>585</v>
      </c>
      <c r="C19" s="132"/>
      <c r="D19" s="93" t="s">
        <v>609</v>
      </c>
      <c r="E19" s="94" t="s">
        <v>593</v>
      </c>
      <c r="F19" s="94" t="s">
        <v>501</v>
      </c>
      <c r="G19" s="97" t="s">
        <v>497</v>
      </c>
      <c r="H19" s="97"/>
      <c r="I19" s="96">
        <v>45644</v>
      </c>
      <c r="J19" s="96">
        <v>45649</v>
      </c>
      <c r="K19" s="97">
        <v>6</v>
      </c>
      <c r="L19" s="105" t="s">
        <v>637</v>
      </c>
      <c r="M19" s="99" t="s">
        <v>611</v>
      </c>
      <c r="N19" s="99">
        <v>1</v>
      </c>
      <c r="O19" s="99"/>
      <c r="P19" s="99">
        <v>1</v>
      </c>
      <c r="Q19" s="99">
        <v>18</v>
      </c>
      <c r="R19" s="133" t="s">
        <v>551</v>
      </c>
      <c r="S19" s="127"/>
      <c r="T19" s="107"/>
      <c r="U19" s="82"/>
    </row>
    <row r="20" customHeight="1" spans="1:23">
      <c r="A20" s="91">
        <v>17</v>
      </c>
      <c r="B20" s="94" t="s">
        <v>585</v>
      </c>
      <c r="C20" s="132"/>
      <c r="D20" s="93" t="s">
        <v>613</v>
      </c>
      <c r="E20" s="94" t="s">
        <v>614</v>
      </c>
      <c r="F20" s="94" t="s">
        <v>615</v>
      </c>
      <c r="G20" s="97" t="s">
        <v>497</v>
      </c>
      <c r="H20" s="97"/>
      <c r="I20" s="96">
        <v>45644</v>
      </c>
      <c r="J20" s="96">
        <v>45649</v>
      </c>
      <c r="K20" s="97">
        <v>6</v>
      </c>
      <c r="L20" s="105" t="s">
        <v>616</v>
      </c>
      <c r="M20" s="99">
        <v>4781</v>
      </c>
      <c r="N20" s="99">
        <v>2</v>
      </c>
      <c r="O20" s="99">
        <v>1</v>
      </c>
      <c r="P20" s="99">
        <v>1</v>
      </c>
      <c r="Q20" s="99"/>
      <c r="R20" s="116" t="s">
        <v>551</v>
      </c>
      <c r="S20" s="119"/>
      <c r="T20" s="113"/>
      <c r="U20" s="82"/>
    </row>
    <row r="21" customHeight="1" spans="1:23">
      <c r="A21" s="91">
        <v>18</v>
      </c>
      <c r="B21" s="91" t="s">
        <v>494</v>
      </c>
      <c r="C21" s="92"/>
      <c r="D21" s="111" t="s">
        <v>638</v>
      </c>
      <c r="E21" s="91" t="s">
        <v>233</v>
      </c>
      <c r="F21" s="91" t="s">
        <v>242</v>
      </c>
      <c r="G21" s="91" t="s">
        <v>497</v>
      </c>
      <c r="H21" s="91"/>
      <c r="I21" s="96">
        <v>45667</v>
      </c>
      <c r="J21" s="96">
        <v>45673</v>
      </c>
      <c r="K21" s="104">
        <v>7</v>
      </c>
      <c r="L21" s="105"/>
      <c r="M21" s="99">
        <v>1327</v>
      </c>
      <c r="N21" s="99">
        <v>0</v>
      </c>
      <c r="O21" s="99"/>
      <c r="P21" s="99"/>
      <c r="Q21" s="99">
        <v>7</v>
      </c>
      <c r="R21" s="116" t="s">
        <v>498</v>
      </c>
      <c r="S21" s="101">
        <v>45674</v>
      </c>
      <c r="T21" s="102"/>
      <c r="U21" s="82"/>
    </row>
    <row r="22" customHeight="1" spans="1:23">
      <c r="A22" s="91">
        <v>19</v>
      </c>
      <c r="B22" s="91" t="s">
        <v>494</v>
      </c>
      <c r="C22" s="134"/>
      <c r="D22" s="111" t="s">
        <v>639</v>
      </c>
      <c r="E22" s="91" t="s">
        <v>233</v>
      </c>
      <c r="F22" s="91" t="s">
        <v>242</v>
      </c>
      <c r="G22" s="91" t="s">
        <v>497</v>
      </c>
      <c r="H22" s="91"/>
      <c r="I22" s="96">
        <v>45668</v>
      </c>
      <c r="J22" s="96">
        <v>45673</v>
      </c>
      <c r="K22" s="104">
        <v>6</v>
      </c>
      <c r="L22" s="105"/>
      <c r="M22" s="99">
        <v>964</v>
      </c>
      <c r="N22" s="99">
        <v>0</v>
      </c>
      <c r="O22" s="99"/>
      <c r="P22" s="99"/>
      <c r="Q22" s="99">
        <v>6</v>
      </c>
      <c r="R22" s="116" t="s">
        <v>498</v>
      </c>
      <c r="S22" s="106"/>
      <c r="T22" s="107"/>
      <c r="U22" s="82"/>
    </row>
    <row r="23" customHeight="1" spans="1:23">
      <c r="A23" s="91">
        <v>20</v>
      </c>
      <c r="B23" s="91" t="s">
        <v>494</v>
      </c>
      <c r="C23" s="134"/>
      <c r="D23" s="93" t="s">
        <v>508</v>
      </c>
      <c r="E23" s="91" t="s">
        <v>43</v>
      </c>
      <c r="F23" s="91" t="s">
        <v>315</v>
      </c>
      <c r="G23" s="91" t="s">
        <v>497</v>
      </c>
      <c r="H23" s="91"/>
      <c r="I23" s="96">
        <v>45635</v>
      </c>
      <c r="J23" s="96">
        <v>45670</v>
      </c>
      <c r="K23" s="104">
        <v>26</v>
      </c>
      <c r="L23" s="105" t="s">
        <v>640</v>
      </c>
      <c r="M23" s="99">
        <v>3</v>
      </c>
      <c r="N23" s="99">
        <v>6</v>
      </c>
      <c r="O23" s="99">
        <v>5</v>
      </c>
      <c r="P23" s="99">
        <v>1</v>
      </c>
      <c r="Q23" s="99"/>
      <c r="R23" s="116" t="s">
        <v>498</v>
      </c>
      <c r="S23" s="106"/>
      <c r="T23" s="107"/>
      <c r="U23" s="82"/>
    </row>
    <row r="24" customHeight="1" spans="1:23">
      <c r="A24" s="91">
        <v>21</v>
      </c>
      <c r="B24" s="91" t="s">
        <v>494</v>
      </c>
      <c r="C24" s="103"/>
      <c r="D24" s="93" t="s">
        <v>641</v>
      </c>
      <c r="E24" s="91" t="s">
        <v>233</v>
      </c>
      <c r="F24" s="91" t="s">
        <v>242</v>
      </c>
      <c r="G24" s="91" t="s">
        <v>497</v>
      </c>
      <c r="H24" s="91"/>
      <c r="I24" s="96">
        <v>45670</v>
      </c>
      <c r="J24" s="96">
        <v>45674</v>
      </c>
      <c r="K24" s="104">
        <v>5</v>
      </c>
      <c r="L24" s="105" t="s">
        <v>534</v>
      </c>
      <c r="M24" s="99">
        <v>1321</v>
      </c>
      <c r="N24" s="99">
        <v>0</v>
      </c>
      <c r="O24" s="99"/>
      <c r="P24" s="99"/>
      <c r="Q24" s="99">
        <v>5</v>
      </c>
      <c r="R24" s="116" t="s">
        <v>498</v>
      </c>
      <c r="S24" s="106"/>
      <c r="T24" s="107"/>
      <c r="U24" s="82"/>
    </row>
    <row r="25" ht="66" customHeight="1" spans="1:23">
      <c r="A25" s="91">
        <v>22</v>
      </c>
      <c r="B25" s="91" t="s">
        <v>494</v>
      </c>
      <c r="C25" s="103"/>
      <c r="D25" s="93" t="s">
        <v>642</v>
      </c>
      <c r="E25" s="91" t="s">
        <v>233</v>
      </c>
      <c r="F25" s="91" t="s">
        <v>242</v>
      </c>
      <c r="G25" s="91" t="s">
        <v>497</v>
      </c>
      <c r="H25" s="91"/>
      <c r="I25" s="96">
        <v>45670</v>
      </c>
      <c r="J25" s="96">
        <v>45674</v>
      </c>
      <c r="K25" s="104">
        <v>5</v>
      </c>
      <c r="L25" s="105" t="s">
        <v>534</v>
      </c>
      <c r="M25" s="99">
        <v>1461</v>
      </c>
      <c r="N25" s="99">
        <v>0</v>
      </c>
      <c r="O25" s="99"/>
      <c r="P25" s="99"/>
      <c r="Q25" s="99">
        <v>5</v>
      </c>
      <c r="R25" s="116" t="s">
        <v>498</v>
      </c>
      <c r="S25" s="106"/>
      <c r="T25" s="107"/>
      <c r="U25" s="82"/>
    </row>
    <row r="26" customHeight="1" spans="1:23">
      <c r="A26" s="91">
        <v>23</v>
      </c>
      <c r="B26" s="91" t="s">
        <v>494</v>
      </c>
      <c r="C26" s="110"/>
      <c r="D26" s="135" t="s">
        <v>579</v>
      </c>
      <c r="E26" s="91" t="s">
        <v>124</v>
      </c>
      <c r="F26" s="91" t="s">
        <v>98</v>
      </c>
      <c r="G26" s="91" t="s">
        <v>497</v>
      </c>
      <c r="H26" s="91"/>
      <c r="I26" s="124">
        <v>45663</v>
      </c>
      <c r="J26" s="96">
        <v>45672</v>
      </c>
      <c r="K26" s="104">
        <v>8</v>
      </c>
      <c r="L26" s="105" t="s">
        <v>580</v>
      </c>
      <c r="M26" s="99">
        <v>403</v>
      </c>
      <c r="N26" s="99">
        <v>6</v>
      </c>
      <c r="O26" s="99">
        <v>4</v>
      </c>
      <c r="P26" s="99">
        <v>2</v>
      </c>
      <c r="Q26" s="99">
        <v>8</v>
      </c>
      <c r="R26" s="116" t="s">
        <v>498</v>
      </c>
      <c r="S26" s="112"/>
      <c r="T26" s="113"/>
      <c r="U26" s="82"/>
    </row>
    <row r="27" customFormat="1" customHeight="1" spans="1:23">
      <c r="A27" s="91">
        <v>24</v>
      </c>
      <c r="B27" s="136" t="s">
        <v>494</v>
      </c>
      <c r="C27" s="103"/>
      <c r="D27" s="137" t="s">
        <v>643</v>
      </c>
      <c r="E27" s="136" t="s">
        <v>93</v>
      </c>
      <c r="F27" s="136" t="s">
        <v>98</v>
      </c>
      <c r="G27" s="138" t="s">
        <v>497</v>
      </c>
      <c r="H27" s="138"/>
      <c r="I27" s="139"/>
      <c r="J27" s="139"/>
      <c r="K27" s="140"/>
      <c r="L27" s="141"/>
      <c r="M27" s="142"/>
      <c r="N27" s="142"/>
      <c r="O27" s="142"/>
      <c r="P27" s="142"/>
      <c r="Q27" s="142">
        <v>8</v>
      </c>
      <c r="R27" s="143" t="s">
        <v>644</v>
      </c>
      <c r="S27" s="101">
        <v>45709</v>
      </c>
      <c r="T27" s="102"/>
      <c r="U27" s="82"/>
      <c r="V27" s="81"/>
      <c r="W27" s="82"/>
    </row>
    <row r="28" customFormat="1" customHeight="1" spans="1:23">
      <c r="A28" s="91">
        <v>25</v>
      </c>
      <c r="B28" s="136" t="s">
        <v>494</v>
      </c>
      <c r="C28" s="144"/>
      <c r="D28" s="145" t="s">
        <v>645</v>
      </c>
      <c r="E28" s="136" t="s">
        <v>20</v>
      </c>
      <c r="F28" s="136"/>
      <c r="G28" s="138" t="s">
        <v>497</v>
      </c>
      <c r="H28" s="138" t="s">
        <v>646</v>
      </c>
      <c r="I28" s="124">
        <v>45723</v>
      </c>
      <c r="J28" s="124">
        <v>45723</v>
      </c>
      <c r="K28" s="140">
        <v>1</v>
      </c>
      <c r="L28" s="141" t="s">
        <v>647</v>
      </c>
      <c r="M28" s="142"/>
      <c r="N28" s="142"/>
      <c r="O28" s="142"/>
      <c r="P28" s="142"/>
      <c r="Q28" s="142"/>
      <c r="R28" s="143" t="s">
        <v>648</v>
      </c>
      <c r="S28" s="101">
        <v>45723</v>
      </c>
      <c r="T28" s="102"/>
      <c r="U28" s="82"/>
      <c r="V28" s="81"/>
      <c r="W28" s="82"/>
    </row>
    <row r="29" customFormat="1" customHeight="1" spans="1:23">
      <c r="A29" s="91">
        <v>26</v>
      </c>
      <c r="B29" s="136" t="s">
        <v>494</v>
      </c>
      <c r="C29" s="144"/>
      <c r="D29" s="145" t="s">
        <v>649</v>
      </c>
      <c r="E29" s="136" t="s">
        <v>20</v>
      </c>
      <c r="F29" s="136"/>
      <c r="G29" s="138" t="s">
        <v>497</v>
      </c>
      <c r="H29" s="138" t="s">
        <v>646</v>
      </c>
      <c r="I29" s="124">
        <v>45723</v>
      </c>
      <c r="J29" s="124">
        <v>45723</v>
      </c>
      <c r="K29" s="140">
        <v>1</v>
      </c>
      <c r="L29" s="141" t="s">
        <v>647</v>
      </c>
      <c r="M29" s="142"/>
      <c r="N29" s="142"/>
      <c r="O29" s="142"/>
      <c r="P29" s="142"/>
      <c r="Q29" s="142"/>
      <c r="R29" s="143" t="s">
        <v>648</v>
      </c>
      <c r="S29" s="106"/>
      <c r="T29" s="107"/>
      <c r="U29" s="82"/>
      <c r="V29" s="81"/>
      <c r="W29" s="82"/>
    </row>
    <row r="30" ht="44" customHeight="1" spans="1:23">
      <c r="A30" s="91">
        <v>27</v>
      </c>
      <c r="B30" s="91" t="s">
        <v>494</v>
      </c>
      <c r="C30" s="91"/>
      <c r="D30" s="146" t="s">
        <v>650</v>
      </c>
      <c r="E30" s="91" t="s">
        <v>233</v>
      </c>
      <c r="F30" s="91" t="s">
        <v>315</v>
      </c>
      <c r="G30" s="138" t="s">
        <v>497</v>
      </c>
      <c r="H30" s="138" t="s">
        <v>651</v>
      </c>
      <c r="I30" s="124">
        <v>45693</v>
      </c>
      <c r="J30" s="124">
        <v>45730</v>
      </c>
      <c r="K30" s="99"/>
      <c r="L30" s="105" t="s">
        <v>652</v>
      </c>
      <c r="M30" s="99">
        <v>1400</v>
      </c>
      <c r="N30" s="99"/>
      <c r="O30" s="99"/>
      <c r="P30" s="99"/>
      <c r="Q30" s="99"/>
      <c r="R30" s="116" t="s">
        <v>653</v>
      </c>
      <c r="S30" s="101">
        <v>45730</v>
      </c>
      <c r="T30" s="102"/>
      <c r="U30" s="82"/>
    </row>
    <row r="31" ht="49" customHeight="1" spans="1:23">
      <c r="A31" s="91">
        <v>28</v>
      </c>
      <c r="B31" s="91" t="s">
        <v>494</v>
      </c>
      <c r="C31" s="91"/>
      <c r="D31" s="146" t="s">
        <v>654</v>
      </c>
      <c r="E31" s="91" t="s">
        <v>233</v>
      </c>
      <c r="F31" s="91" t="s">
        <v>315</v>
      </c>
      <c r="G31" s="138" t="s">
        <v>497</v>
      </c>
      <c r="H31" s="138" t="s">
        <v>651</v>
      </c>
      <c r="I31" s="124">
        <v>45693</v>
      </c>
      <c r="J31" s="124">
        <v>45730</v>
      </c>
      <c r="K31" s="99"/>
      <c r="L31" s="105" t="s">
        <v>655</v>
      </c>
      <c r="M31" s="99">
        <v>1400</v>
      </c>
      <c r="N31" s="99"/>
      <c r="O31" s="99"/>
      <c r="P31" s="99"/>
      <c r="Q31" s="99"/>
      <c r="R31" s="116" t="s">
        <v>653</v>
      </c>
      <c r="S31" s="106"/>
      <c r="T31" s="107"/>
      <c r="U31" s="82"/>
    </row>
    <row r="32" ht="39" customHeight="1" spans="1:23">
      <c r="A32" s="91">
        <v>29</v>
      </c>
      <c r="B32" s="91" t="s">
        <v>585</v>
      </c>
      <c r="C32" s="91"/>
      <c r="D32" s="146" t="s">
        <v>656</v>
      </c>
      <c r="E32" s="91" t="s">
        <v>657</v>
      </c>
      <c r="F32" s="91" t="s">
        <v>615</v>
      </c>
      <c r="G32" s="138" t="s">
        <v>497</v>
      </c>
      <c r="H32" s="91" t="s">
        <v>658</v>
      </c>
      <c r="I32" s="124">
        <v>45723</v>
      </c>
      <c r="J32" s="124">
        <v>45730</v>
      </c>
      <c r="K32" s="99">
        <f>((J32-I32)+1)-ROUNDDOWN((J32-I32)/7,0)*2</f>
        <v>6</v>
      </c>
      <c r="L32" s="105" t="s">
        <v>659</v>
      </c>
      <c r="M32" s="99">
        <v>5627</v>
      </c>
      <c r="N32" s="99"/>
      <c r="O32" s="99"/>
      <c r="P32" s="99"/>
      <c r="Q32" s="99">
        <v>6</v>
      </c>
      <c r="R32" s="116" t="s">
        <v>653</v>
      </c>
      <c r="S32" s="112"/>
      <c r="T32" s="113"/>
      <c r="U32" s="147" t="s">
        <v>660</v>
      </c>
    </row>
    <row r="33" customHeight="1" spans="1:23">
      <c r="A33" s="91">
        <v>30</v>
      </c>
      <c r="B33" s="148" t="s">
        <v>494</v>
      </c>
      <c r="C33" s="149"/>
      <c r="D33" s="150" t="s">
        <v>661</v>
      </c>
      <c r="E33" s="151" t="s">
        <v>662</v>
      </c>
      <c r="F33" s="91"/>
      <c r="G33" s="138" t="s">
        <v>497</v>
      </c>
      <c r="H33" s="91" t="s">
        <v>646</v>
      </c>
      <c r="I33" s="124">
        <v>45728</v>
      </c>
      <c r="J33" s="124">
        <v>45728</v>
      </c>
      <c r="K33" s="99"/>
      <c r="L33" s="105" t="s">
        <v>663</v>
      </c>
      <c r="M33" s="99"/>
      <c r="N33" s="99"/>
      <c r="O33" s="99"/>
      <c r="P33" s="99"/>
      <c r="Q33" s="99"/>
      <c r="R33" s="116" t="s">
        <v>653</v>
      </c>
      <c r="S33" s="101">
        <v>45730</v>
      </c>
      <c r="T33" s="102"/>
      <c r="U33" s="82"/>
    </row>
    <row r="34" customHeight="1" spans="1:23">
      <c r="A34" s="91">
        <v>31</v>
      </c>
      <c r="B34" s="148" t="s">
        <v>494</v>
      </c>
      <c r="C34" s="149"/>
      <c r="D34" s="150" t="s">
        <v>664</v>
      </c>
      <c r="E34" s="151" t="s">
        <v>662</v>
      </c>
      <c r="F34" s="91"/>
      <c r="G34" s="138" t="s">
        <v>497</v>
      </c>
      <c r="H34" s="91" t="s">
        <v>646</v>
      </c>
      <c r="I34" s="124">
        <v>45728</v>
      </c>
      <c r="J34" s="124">
        <v>45728</v>
      </c>
      <c r="K34" s="99"/>
      <c r="L34" s="105" t="s">
        <v>663</v>
      </c>
      <c r="M34" s="99"/>
      <c r="N34" s="99"/>
      <c r="O34" s="99"/>
      <c r="P34" s="99"/>
      <c r="Q34" s="99"/>
      <c r="R34" s="116" t="s">
        <v>653</v>
      </c>
      <c r="S34" s="127"/>
      <c r="T34" s="107"/>
      <c r="U34" s="82"/>
    </row>
    <row r="35" customHeight="1" spans="1:23">
      <c r="A35" s="91">
        <v>32</v>
      </c>
      <c r="B35" s="148" t="s">
        <v>494</v>
      </c>
      <c r="C35" s="149"/>
      <c r="D35" s="150" t="s">
        <v>665</v>
      </c>
      <c r="E35" s="151" t="s">
        <v>666</v>
      </c>
      <c r="F35" s="91"/>
      <c r="G35" s="138" t="s">
        <v>497</v>
      </c>
      <c r="H35" s="91" t="s">
        <v>646</v>
      </c>
      <c r="I35" s="124">
        <v>45728</v>
      </c>
      <c r="J35" s="124">
        <v>45728</v>
      </c>
      <c r="K35" s="99"/>
      <c r="L35" s="105" t="s">
        <v>663</v>
      </c>
      <c r="M35" s="99"/>
      <c r="N35" s="99"/>
      <c r="O35" s="99"/>
      <c r="P35" s="99"/>
      <c r="Q35" s="99"/>
      <c r="R35" s="116" t="s">
        <v>653</v>
      </c>
      <c r="S35" s="127"/>
      <c r="T35" s="107"/>
      <c r="U35" s="82"/>
    </row>
    <row r="36" customHeight="1" spans="1:23">
      <c r="A36" s="91">
        <v>33</v>
      </c>
      <c r="B36" s="148" t="s">
        <v>494</v>
      </c>
      <c r="C36" s="149"/>
      <c r="D36" s="150" t="s">
        <v>667</v>
      </c>
      <c r="E36" s="151" t="s">
        <v>666</v>
      </c>
      <c r="F36" s="91"/>
      <c r="G36" s="138" t="s">
        <v>497</v>
      </c>
      <c r="H36" s="91" t="s">
        <v>646</v>
      </c>
      <c r="I36" s="124">
        <v>45728</v>
      </c>
      <c r="J36" s="124">
        <v>45728</v>
      </c>
      <c r="K36" s="99"/>
      <c r="L36" s="105" t="s">
        <v>663</v>
      </c>
      <c r="M36" s="99"/>
      <c r="N36" s="99"/>
      <c r="O36" s="99"/>
      <c r="P36" s="99"/>
      <c r="Q36" s="99"/>
      <c r="R36" s="116" t="s">
        <v>653</v>
      </c>
      <c r="S36" s="127"/>
      <c r="T36" s="107"/>
      <c r="U36" s="82"/>
    </row>
    <row r="37" customHeight="1" spans="1:23">
      <c r="A37" s="91">
        <v>34</v>
      </c>
      <c r="B37" s="148" t="s">
        <v>494</v>
      </c>
      <c r="C37" s="149"/>
      <c r="D37" s="150" t="s">
        <v>668</v>
      </c>
      <c r="E37" s="151" t="s">
        <v>669</v>
      </c>
      <c r="F37" s="91"/>
      <c r="G37" s="138" t="s">
        <v>497</v>
      </c>
      <c r="H37" s="91" t="s">
        <v>646</v>
      </c>
      <c r="I37" s="124">
        <v>45728</v>
      </c>
      <c r="J37" s="124">
        <v>45728</v>
      </c>
      <c r="K37" s="99"/>
      <c r="L37" s="105" t="s">
        <v>670</v>
      </c>
      <c r="M37" s="99"/>
      <c r="N37" s="99"/>
      <c r="O37" s="99"/>
      <c r="P37" s="99"/>
      <c r="Q37" s="99"/>
      <c r="R37" s="116" t="s">
        <v>653</v>
      </c>
      <c r="S37" s="127"/>
      <c r="T37" s="107"/>
      <c r="U37" s="82"/>
    </row>
    <row r="38" customHeight="1" spans="1:23">
      <c r="A38" s="91">
        <v>35</v>
      </c>
      <c r="B38" s="152" t="s">
        <v>494</v>
      </c>
      <c r="C38" s="153"/>
      <c r="D38" s="154" t="s">
        <v>671</v>
      </c>
      <c r="E38" s="155" t="s">
        <v>669</v>
      </c>
      <c r="F38" s="136"/>
      <c r="G38" s="138" t="s">
        <v>497</v>
      </c>
      <c r="H38" s="136" t="s">
        <v>646</v>
      </c>
      <c r="I38" s="101">
        <v>45728</v>
      </c>
      <c r="J38" s="101">
        <v>45728</v>
      </c>
      <c r="K38" s="142"/>
      <c r="L38" s="141" t="s">
        <v>670</v>
      </c>
      <c r="M38" s="142"/>
      <c r="N38" s="142"/>
      <c r="O38" s="142"/>
      <c r="P38" s="142"/>
      <c r="Q38" s="142"/>
      <c r="R38" s="133" t="s">
        <v>653</v>
      </c>
      <c r="S38" s="119"/>
      <c r="T38" s="113"/>
      <c r="U38" s="82"/>
    </row>
    <row r="39" ht="59" customHeight="1" spans="1:23">
      <c r="A39" s="91">
        <v>36</v>
      </c>
      <c r="B39" s="91" t="s">
        <v>585</v>
      </c>
      <c r="C39" s="91"/>
      <c r="D39" s="109" t="s">
        <v>672</v>
      </c>
      <c r="E39" s="91" t="s">
        <v>512</v>
      </c>
      <c r="F39" s="91"/>
      <c r="G39" s="138" t="s">
        <v>497</v>
      </c>
      <c r="H39" s="91" t="s">
        <v>673</v>
      </c>
      <c r="I39" s="124">
        <v>45701</v>
      </c>
      <c r="J39" s="96">
        <v>45744</v>
      </c>
      <c r="K39" s="99"/>
      <c r="L39" s="105" t="s">
        <v>674</v>
      </c>
      <c r="M39" s="99"/>
      <c r="N39" s="99"/>
      <c r="O39" s="99"/>
      <c r="P39" s="99"/>
      <c r="Q39" s="99"/>
      <c r="R39" s="133" t="s">
        <v>675</v>
      </c>
      <c r="S39" s="124">
        <v>45744</v>
      </c>
      <c r="T39" s="156"/>
      <c r="U39" s="82"/>
    </row>
    <row r="40" ht="40" customHeight="1" spans="1:23">
      <c r="A40" s="91">
        <v>37</v>
      </c>
      <c r="B40" s="91" t="s">
        <v>585</v>
      </c>
      <c r="C40" s="91"/>
      <c r="D40" s="146" t="s">
        <v>676</v>
      </c>
      <c r="E40" s="91" t="s">
        <v>677</v>
      </c>
      <c r="F40" s="91"/>
      <c r="G40" s="138" t="s">
        <v>497</v>
      </c>
      <c r="H40" s="91" t="s">
        <v>673</v>
      </c>
      <c r="I40" s="96">
        <v>45644</v>
      </c>
      <c r="J40" s="96">
        <v>45744</v>
      </c>
      <c r="K40" s="97">
        <f t="shared" ref="K40:K72" si="0">((J40-I40)+1)-ROUNDDOWN((J40-I40)/7,0)*2</f>
        <v>73</v>
      </c>
      <c r="L40" s="105" t="s">
        <v>678</v>
      </c>
      <c r="M40" s="99">
        <v>4759</v>
      </c>
      <c r="N40" s="99"/>
      <c r="O40" s="99"/>
      <c r="P40" s="99"/>
      <c r="Q40" s="99"/>
      <c r="R40" s="133" t="s">
        <v>675</v>
      </c>
      <c r="S40" s="91"/>
      <c r="T40" s="156"/>
      <c r="U40" s="82"/>
    </row>
    <row r="41" ht="47" customHeight="1" spans="1:23">
      <c r="A41" s="91">
        <v>38</v>
      </c>
      <c r="B41" s="91" t="s">
        <v>585</v>
      </c>
      <c r="C41" s="91"/>
      <c r="D41" s="109" t="s">
        <v>679</v>
      </c>
      <c r="E41" s="91" t="s">
        <v>512</v>
      </c>
      <c r="F41" s="91"/>
      <c r="G41" s="138" t="s">
        <v>497</v>
      </c>
      <c r="H41" s="91" t="s">
        <v>673</v>
      </c>
      <c r="I41" s="96">
        <v>45727</v>
      </c>
      <c r="J41" s="96">
        <v>45744</v>
      </c>
      <c r="K41" s="97">
        <f t="shared" si="0"/>
        <v>14</v>
      </c>
      <c r="L41" s="105" t="s">
        <v>680</v>
      </c>
      <c r="M41" s="99">
        <v>3647</v>
      </c>
      <c r="N41" s="99"/>
      <c r="O41" s="99"/>
      <c r="P41" s="99"/>
      <c r="Q41" s="99"/>
      <c r="R41" s="133" t="s">
        <v>675</v>
      </c>
      <c r="S41" s="124">
        <v>45744</v>
      </c>
      <c r="T41" s="156"/>
      <c r="U41" s="82"/>
    </row>
    <row r="42" ht="42" customHeight="1" spans="1:23">
      <c r="A42" s="91">
        <v>39</v>
      </c>
      <c r="B42" s="91" t="s">
        <v>494</v>
      </c>
      <c r="C42" s="91"/>
      <c r="D42" s="146" t="s">
        <v>681</v>
      </c>
      <c r="E42" s="91" t="s">
        <v>233</v>
      </c>
      <c r="F42" s="91"/>
      <c r="G42" s="91" t="s">
        <v>497</v>
      </c>
      <c r="H42" s="91" t="s">
        <v>682</v>
      </c>
      <c r="I42" s="124">
        <v>45747</v>
      </c>
      <c r="J42" s="124">
        <v>45757</v>
      </c>
      <c r="K42" s="97">
        <f t="shared" si="0"/>
        <v>9</v>
      </c>
      <c r="L42" s="105" t="s">
        <v>683</v>
      </c>
      <c r="M42" s="99" t="s">
        <v>684</v>
      </c>
      <c r="N42" s="99">
        <v>1</v>
      </c>
      <c r="O42" s="99">
        <v>1</v>
      </c>
      <c r="P42" s="99">
        <v>0</v>
      </c>
      <c r="Q42" s="99">
        <v>9</v>
      </c>
      <c r="R42" s="157" t="s">
        <v>685</v>
      </c>
      <c r="S42" s="158">
        <v>45758</v>
      </c>
      <c r="T42" s="159"/>
      <c r="U42" s="82"/>
    </row>
    <row r="43" ht="77" customHeight="1" spans="1:23">
      <c r="A43" s="91">
        <v>40</v>
      </c>
      <c r="B43" s="91" t="s">
        <v>494</v>
      </c>
      <c r="C43" s="91"/>
      <c r="D43" s="105" t="s">
        <v>686</v>
      </c>
      <c r="E43" s="91" t="s">
        <v>233</v>
      </c>
      <c r="F43" s="91"/>
      <c r="G43" s="91" t="s">
        <v>497</v>
      </c>
      <c r="H43" s="91" t="s">
        <v>687</v>
      </c>
      <c r="I43" s="124">
        <v>45747</v>
      </c>
      <c r="J43" s="124">
        <v>45757</v>
      </c>
      <c r="K43" s="97">
        <f t="shared" si="0"/>
        <v>9</v>
      </c>
      <c r="L43" s="105" t="s">
        <v>688</v>
      </c>
      <c r="M43" s="99">
        <v>15274</v>
      </c>
      <c r="N43" s="99">
        <v>3</v>
      </c>
      <c r="O43" s="99">
        <v>3</v>
      </c>
      <c r="P43" s="99">
        <v>0</v>
      </c>
      <c r="Q43" s="99">
        <v>5</v>
      </c>
      <c r="R43" s="157" t="s">
        <v>685</v>
      </c>
      <c r="S43" s="158"/>
      <c r="T43" s="159"/>
      <c r="U43" s="82"/>
    </row>
    <row r="44" ht="41" customHeight="1" spans="1:23">
      <c r="A44" s="91">
        <v>41</v>
      </c>
      <c r="B44" s="91" t="s">
        <v>585</v>
      </c>
      <c r="C44" s="91"/>
      <c r="D44" s="146" t="s">
        <v>689</v>
      </c>
      <c r="E44" s="91" t="s">
        <v>512</v>
      </c>
      <c r="F44" s="91"/>
      <c r="G44" s="138" t="s">
        <v>497</v>
      </c>
      <c r="H44" s="91" t="s">
        <v>673</v>
      </c>
      <c r="I44" s="124">
        <v>45740</v>
      </c>
      <c r="J44" s="124">
        <v>45772</v>
      </c>
      <c r="K44" s="97">
        <f t="shared" si="0"/>
        <v>25</v>
      </c>
      <c r="L44" s="105" t="s">
        <v>690</v>
      </c>
      <c r="M44" s="99">
        <v>5670</v>
      </c>
      <c r="N44" s="99"/>
      <c r="O44" s="99"/>
      <c r="P44" s="99">
        <v>1</v>
      </c>
      <c r="Q44" s="99"/>
      <c r="R44" s="133" t="s">
        <v>691</v>
      </c>
      <c r="S44" s="101">
        <v>45772</v>
      </c>
      <c r="T44" s="102"/>
      <c r="U44" s="82"/>
    </row>
    <row r="45" ht="53" customHeight="1" spans="1:23">
      <c r="A45" s="91">
        <v>42</v>
      </c>
      <c r="B45" s="91" t="s">
        <v>585</v>
      </c>
      <c r="C45" s="91"/>
      <c r="D45" s="146" t="s">
        <v>692</v>
      </c>
      <c r="E45" s="91" t="s">
        <v>657</v>
      </c>
      <c r="F45" s="91"/>
      <c r="G45" s="138" t="s">
        <v>497</v>
      </c>
      <c r="H45" s="91" t="s">
        <v>673</v>
      </c>
      <c r="I45" s="96">
        <v>45730</v>
      </c>
      <c r="J45" s="96">
        <v>45772</v>
      </c>
      <c r="K45" s="97">
        <f t="shared" si="0"/>
        <v>31</v>
      </c>
      <c r="L45" s="105" t="s">
        <v>693</v>
      </c>
      <c r="M45" s="99">
        <v>54830</v>
      </c>
      <c r="N45" s="99">
        <v>4</v>
      </c>
      <c r="O45" s="99">
        <v>4</v>
      </c>
      <c r="P45" s="99">
        <f>N45-O45</f>
        <v>0</v>
      </c>
      <c r="Q45" s="99"/>
      <c r="R45" s="157" t="s">
        <v>691</v>
      </c>
      <c r="S45" s="106"/>
      <c r="T45" s="107"/>
      <c r="U45" s="160" t="s">
        <v>694</v>
      </c>
    </row>
    <row r="46" customFormat="1" ht="74" customHeight="1" spans="1:23">
      <c r="A46" s="91">
        <v>43</v>
      </c>
      <c r="B46" s="91" t="s">
        <v>585</v>
      </c>
      <c r="C46" s="91"/>
      <c r="D46" s="105" t="s">
        <v>695</v>
      </c>
      <c r="E46" s="91" t="s">
        <v>614</v>
      </c>
      <c r="F46" s="91"/>
      <c r="G46" s="138" t="s">
        <v>497</v>
      </c>
      <c r="H46" s="91" t="s">
        <v>673</v>
      </c>
      <c r="I46" s="124">
        <v>45748</v>
      </c>
      <c r="J46" s="124">
        <v>45772</v>
      </c>
      <c r="K46" s="97">
        <f t="shared" si="0"/>
        <v>19</v>
      </c>
      <c r="L46" s="105" t="s">
        <v>696</v>
      </c>
      <c r="M46" s="99">
        <v>8366</v>
      </c>
      <c r="N46" s="99">
        <v>6</v>
      </c>
      <c r="O46" s="99">
        <v>6</v>
      </c>
      <c r="P46" s="99">
        <f>N46-O46</f>
        <v>0</v>
      </c>
      <c r="Q46" s="99"/>
      <c r="R46" s="157" t="s">
        <v>691</v>
      </c>
      <c r="S46" s="106"/>
      <c r="T46" s="107"/>
      <c r="U46" s="82"/>
      <c r="V46" s="81"/>
      <c r="W46" s="82"/>
    </row>
    <row r="47" customHeight="1" spans="1:23">
      <c r="A47" s="91">
        <v>44</v>
      </c>
      <c r="B47" s="91" t="s">
        <v>494</v>
      </c>
      <c r="C47" s="146"/>
      <c r="D47" s="146" t="s">
        <v>697</v>
      </c>
      <c r="E47" s="91" t="s">
        <v>311</v>
      </c>
      <c r="F47" s="91"/>
      <c r="G47" s="91" t="s">
        <v>497</v>
      </c>
      <c r="H47" s="91" t="s">
        <v>698</v>
      </c>
      <c r="I47" s="48">
        <v>45770</v>
      </c>
      <c r="J47" s="48">
        <v>45770</v>
      </c>
      <c r="K47" s="97">
        <f t="shared" si="0"/>
        <v>1</v>
      </c>
      <c r="L47" s="146"/>
      <c r="M47" s="91"/>
      <c r="N47" s="91"/>
      <c r="O47" s="91"/>
      <c r="P47" s="91"/>
      <c r="Q47" s="146"/>
      <c r="R47" s="157" t="s">
        <v>691</v>
      </c>
      <c r="S47" s="106"/>
      <c r="T47" s="107"/>
      <c r="U47" s="82"/>
    </row>
    <row r="48" customHeight="1" spans="1:23">
      <c r="A48" s="91">
        <v>45</v>
      </c>
      <c r="B48" s="91" t="s">
        <v>494</v>
      </c>
      <c r="C48" s="146"/>
      <c r="D48" s="146" t="s">
        <v>699</v>
      </c>
      <c r="E48" s="91" t="s">
        <v>311</v>
      </c>
      <c r="F48" s="91"/>
      <c r="G48" s="91" t="s">
        <v>497</v>
      </c>
      <c r="H48" s="91" t="s">
        <v>698</v>
      </c>
      <c r="I48" s="48">
        <v>45770</v>
      </c>
      <c r="J48" s="48">
        <v>45770</v>
      </c>
      <c r="K48" s="97">
        <f t="shared" si="0"/>
        <v>1</v>
      </c>
      <c r="L48" s="146"/>
      <c r="M48" s="91"/>
      <c r="N48" s="91"/>
      <c r="O48" s="91"/>
      <c r="P48" s="91"/>
      <c r="Q48" s="146"/>
      <c r="R48" s="157" t="s">
        <v>691</v>
      </c>
      <c r="S48" s="112"/>
      <c r="T48" s="113"/>
      <c r="U48" s="82"/>
    </row>
    <row r="49" ht="88" customHeight="1" spans="1:21">
      <c r="A49" s="91">
        <v>46</v>
      </c>
      <c r="B49" s="91" t="s">
        <v>494</v>
      </c>
      <c r="C49" s="146"/>
      <c r="D49" s="146" t="s">
        <v>700</v>
      </c>
      <c r="E49" s="91" t="s">
        <v>701</v>
      </c>
      <c r="F49" s="91"/>
      <c r="G49" s="91" t="s">
        <v>497</v>
      </c>
      <c r="H49" s="91" t="s">
        <v>698</v>
      </c>
      <c r="I49" s="48">
        <v>45726</v>
      </c>
      <c r="J49" s="48">
        <v>45768</v>
      </c>
      <c r="K49" s="97">
        <f t="shared" si="0"/>
        <v>31</v>
      </c>
      <c r="L49" s="105" t="s">
        <v>702</v>
      </c>
      <c r="M49" s="91"/>
      <c r="N49" s="136">
        <v>12</v>
      </c>
      <c r="O49" s="136">
        <v>12</v>
      </c>
      <c r="P49" s="136">
        <v>0</v>
      </c>
      <c r="Q49" s="146"/>
      <c r="R49" s="157" t="s">
        <v>703</v>
      </c>
      <c r="S49" s="124">
        <v>45776</v>
      </c>
      <c r="T49" s="156"/>
      <c r="U49" s="82"/>
    </row>
    <row r="50" ht="88" customHeight="1" spans="1:21">
      <c r="A50" s="91">
        <v>47</v>
      </c>
      <c r="B50" s="91" t="s">
        <v>494</v>
      </c>
      <c r="C50" s="146"/>
      <c r="D50" s="146" t="s">
        <v>704</v>
      </c>
      <c r="E50" s="91" t="s">
        <v>701</v>
      </c>
      <c r="F50" s="91"/>
      <c r="G50" s="91" t="s">
        <v>497</v>
      </c>
      <c r="H50" s="91" t="s">
        <v>698</v>
      </c>
      <c r="I50" s="48">
        <v>45726</v>
      </c>
      <c r="J50" s="48">
        <v>45768</v>
      </c>
      <c r="K50" s="97">
        <f t="shared" si="0"/>
        <v>31</v>
      </c>
      <c r="L50" s="105" t="s">
        <v>705</v>
      </c>
      <c r="M50" s="91"/>
      <c r="N50" s="91"/>
      <c r="O50" s="91"/>
      <c r="P50" s="91"/>
      <c r="Q50" s="146"/>
      <c r="R50" s="157" t="s">
        <v>703</v>
      </c>
      <c r="S50" s="124">
        <v>45776</v>
      </c>
      <c r="T50" s="156"/>
      <c r="U50" s="82"/>
    </row>
    <row r="51" ht="60" customHeight="1" spans="1:21">
      <c r="A51" s="91">
        <v>48</v>
      </c>
      <c r="B51" s="91" t="s">
        <v>494</v>
      </c>
      <c r="C51" s="91"/>
      <c r="D51" s="146" t="s">
        <v>706</v>
      </c>
      <c r="E51" s="91" t="s">
        <v>93</v>
      </c>
      <c r="F51" s="91"/>
      <c r="G51" s="91" t="s">
        <v>497</v>
      </c>
      <c r="H51" s="99" t="s">
        <v>707</v>
      </c>
      <c r="I51" s="124">
        <v>45748</v>
      </c>
      <c r="J51" s="124">
        <v>45785</v>
      </c>
      <c r="K51" s="97">
        <f t="shared" si="0"/>
        <v>28</v>
      </c>
      <c r="L51" s="105" t="s">
        <v>708</v>
      </c>
      <c r="M51" s="99">
        <v>230</v>
      </c>
      <c r="N51" s="99">
        <v>6</v>
      </c>
      <c r="O51" s="99">
        <v>1</v>
      </c>
      <c r="P51" s="99">
        <f>N51-O51</f>
        <v>5</v>
      </c>
      <c r="Q51" s="99"/>
      <c r="R51" s="161" t="s">
        <v>709</v>
      </c>
      <c r="S51" s="124">
        <v>45786</v>
      </c>
      <c r="T51" s="156"/>
      <c r="U51" s="74" t="s">
        <v>710</v>
      </c>
    </row>
    <row r="52" ht="116" customHeight="1" spans="1:21">
      <c r="A52" s="91">
        <v>49</v>
      </c>
      <c r="B52" s="91" t="s">
        <v>494</v>
      </c>
      <c r="C52" s="91"/>
      <c r="D52" s="146" t="s">
        <v>711</v>
      </c>
      <c r="E52" s="91" t="s">
        <v>93</v>
      </c>
      <c r="F52" s="91"/>
      <c r="G52" s="91" t="s">
        <v>497</v>
      </c>
      <c r="H52" s="99" t="s">
        <v>707</v>
      </c>
      <c r="I52" s="124">
        <v>45748</v>
      </c>
      <c r="J52" s="124">
        <v>45785</v>
      </c>
      <c r="K52" s="97">
        <f t="shared" si="0"/>
        <v>28</v>
      </c>
      <c r="L52" s="105" t="s">
        <v>712</v>
      </c>
      <c r="M52" s="99">
        <v>278</v>
      </c>
      <c r="N52" s="99"/>
      <c r="O52" s="99"/>
      <c r="P52" s="99">
        <f>N52-O52</f>
        <v>0</v>
      </c>
      <c r="Q52" s="99"/>
      <c r="R52" s="161" t="s">
        <v>709</v>
      </c>
      <c r="S52" s="124">
        <v>45786</v>
      </c>
      <c r="T52" s="156"/>
      <c r="U52" s="82"/>
    </row>
    <row r="53" ht="47" customHeight="1" spans="1:21">
      <c r="A53" s="91">
        <v>50</v>
      </c>
      <c r="B53" s="91" t="s">
        <v>494</v>
      </c>
      <c r="C53" s="91"/>
      <c r="D53" s="146" t="s">
        <v>713</v>
      </c>
      <c r="E53" s="91" t="s">
        <v>93</v>
      </c>
      <c r="F53" s="91"/>
      <c r="G53" s="91" t="s">
        <v>497</v>
      </c>
      <c r="H53" s="99" t="s">
        <v>707</v>
      </c>
      <c r="I53" s="124">
        <v>45748</v>
      </c>
      <c r="J53" s="124">
        <v>45785</v>
      </c>
      <c r="K53" s="97">
        <f t="shared" si="0"/>
        <v>28</v>
      </c>
      <c r="L53" s="105"/>
      <c r="M53" s="99">
        <v>130</v>
      </c>
      <c r="N53" s="99"/>
      <c r="O53" s="99"/>
      <c r="P53" s="99">
        <f>N53-O53</f>
        <v>0</v>
      </c>
      <c r="Q53" s="99"/>
      <c r="R53" s="161" t="s">
        <v>709</v>
      </c>
      <c r="S53" s="124">
        <v>45786</v>
      </c>
      <c r="T53" s="156"/>
      <c r="U53" s="82"/>
    </row>
    <row r="54" ht="76" customHeight="1" spans="1:21">
      <c r="A54" s="91">
        <v>51</v>
      </c>
      <c r="B54" s="91" t="s">
        <v>494</v>
      </c>
      <c r="C54" s="146"/>
      <c r="D54" s="146" t="s">
        <v>714</v>
      </c>
      <c r="E54" s="91" t="s">
        <v>43</v>
      </c>
      <c r="F54" s="91"/>
      <c r="G54" s="91" t="s">
        <v>497</v>
      </c>
      <c r="H54" s="91" t="s">
        <v>687</v>
      </c>
      <c r="I54" s="162">
        <v>45761</v>
      </c>
      <c r="J54" s="162">
        <v>45785</v>
      </c>
      <c r="K54" s="97">
        <f t="shared" si="0"/>
        <v>19</v>
      </c>
      <c r="L54" s="105" t="s">
        <v>715</v>
      </c>
      <c r="M54" s="91">
        <v>2214</v>
      </c>
      <c r="N54" s="91">
        <v>6</v>
      </c>
      <c r="O54" s="91">
        <v>4</v>
      </c>
      <c r="P54" s="99">
        <f t="shared" ref="P54:P64" si="1">N54-O54</f>
        <v>2</v>
      </c>
      <c r="Q54" s="146"/>
      <c r="R54" s="161" t="s">
        <v>709</v>
      </c>
      <c r="S54" s="124">
        <v>45786</v>
      </c>
      <c r="T54" s="156"/>
      <c r="U54" s="82"/>
    </row>
    <row r="55" ht="51" customHeight="1" spans="1:21">
      <c r="A55" s="91">
        <v>52</v>
      </c>
      <c r="B55" s="91" t="s">
        <v>494</v>
      </c>
      <c r="C55" s="146"/>
      <c r="D55" s="146" t="s">
        <v>716</v>
      </c>
      <c r="E55" s="91" t="s">
        <v>701</v>
      </c>
      <c r="F55" s="91"/>
      <c r="G55" s="91" t="s">
        <v>497</v>
      </c>
      <c r="H55" s="99" t="s">
        <v>717</v>
      </c>
      <c r="I55" s="48">
        <v>45730</v>
      </c>
      <c r="J55" s="162">
        <v>45785</v>
      </c>
      <c r="K55" s="97">
        <f t="shared" si="0"/>
        <v>42</v>
      </c>
      <c r="L55" s="105" t="s">
        <v>718</v>
      </c>
      <c r="M55" s="91">
        <v>300</v>
      </c>
      <c r="N55" s="91">
        <v>3</v>
      </c>
      <c r="O55" s="91">
        <v>2</v>
      </c>
      <c r="P55" s="99">
        <f t="shared" si="1"/>
        <v>1</v>
      </c>
      <c r="Q55" s="146"/>
      <c r="R55" s="161" t="s">
        <v>709</v>
      </c>
      <c r="S55" s="124">
        <v>45786</v>
      </c>
      <c r="T55" s="156"/>
      <c r="U55" s="82"/>
    </row>
    <row r="56" ht="47" customHeight="1" spans="1:21">
      <c r="A56" s="91">
        <v>53</v>
      </c>
      <c r="B56" s="91" t="s">
        <v>585</v>
      </c>
      <c r="C56" s="146"/>
      <c r="D56" s="146" t="s">
        <v>719</v>
      </c>
      <c r="E56" s="91" t="s">
        <v>720</v>
      </c>
      <c r="F56" s="91"/>
      <c r="G56" s="91" t="s">
        <v>497</v>
      </c>
      <c r="H56" s="91" t="s">
        <v>673</v>
      </c>
      <c r="I56" s="48">
        <v>45726</v>
      </c>
      <c r="J56" s="162">
        <v>45783</v>
      </c>
      <c r="K56" s="97">
        <f t="shared" si="0"/>
        <v>42</v>
      </c>
      <c r="L56" s="146"/>
      <c r="M56" s="91">
        <v>1715</v>
      </c>
      <c r="N56" s="91">
        <v>3</v>
      </c>
      <c r="O56" s="91">
        <v>3</v>
      </c>
      <c r="P56" s="99">
        <f t="shared" si="1"/>
        <v>0</v>
      </c>
      <c r="Q56" s="146"/>
      <c r="R56" s="161" t="s">
        <v>709</v>
      </c>
      <c r="S56" s="124">
        <v>45786</v>
      </c>
      <c r="T56" s="156"/>
      <c r="U56" s="82"/>
    </row>
    <row r="57" ht="47" customHeight="1" spans="1:21">
      <c r="A57" s="91">
        <v>54</v>
      </c>
      <c r="B57" s="91" t="s">
        <v>585</v>
      </c>
      <c r="C57" s="146"/>
      <c r="D57" s="146" t="s">
        <v>721</v>
      </c>
      <c r="E57" s="91" t="s">
        <v>512</v>
      </c>
      <c r="F57" s="91"/>
      <c r="G57" s="91" t="s">
        <v>497</v>
      </c>
      <c r="H57" s="99" t="s">
        <v>722</v>
      </c>
      <c r="I57" s="48">
        <v>45740</v>
      </c>
      <c r="J57" s="162">
        <v>45785</v>
      </c>
      <c r="K57" s="97">
        <f t="shared" si="0"/>
        <v>34</v>
      </c>
      <c r="L57" s="146" t="s">
        <v>723</v>
      </c>
      <c r="M57" s="91">
        <v>5936</v>
      </c>
      <c r="N57" s="91">
        <v>2</v>
      </c>
      <c r="O57" s="91">
        <v>2</v>
      </c>
      <c r="P57" s="99">
        <f t="shared" si="1"/>
        <v>0</v>
      </c>
      <c r="Q57" s="146"/>
      <c r="R57" s="161" t="s">
        <v>709</v>
      </c>
      <c r="S57" s="124">
        <v>45786</v>
      </c>
      <c r="T57" s="156"/>
      <c r="U57" s="82"/>
    </row>
    <row r="58" customHeight="1" spans="1:21">
      <c r="A58" s="91">
        <v>55</v>
      </c>
      <c r="B58" s="91" t="s">
        <v>585</v>
      </c>
      <c r="C58" s="40"/>
      <c r="D58" s="146" t="s">
        <v>724</v>
      </c>
      <c r="E58" s="91" t="s">
        <v>720</v>
      </c>
      <c r="F58" s="91"/>
      <c r="G58" s="91" t="s">
        <v>497</v>
      </c>
      <c r="H58" s="91" t="s">
        <v>646</v>
      </c>
      <c r="I58" s="48">
        <v>45754</v>
      </c>
      <c r="J58" s="48">
        <v>45783</v>
      </c>
      <c r="K58" s="97">
        <f t="shared" si="0"/>
        <v>22</v>
      </c>
      <c r="L58" s="57"/>
      <c r="M58" s="9">
        <v>1100</v>
      </c>
      <c r="N58" s="9">
        <v>2</v>
      </c>
      <c r="O58" s="9">
        <v>2</v>
      </c>
      <c r="P58" s="99">
        <f t="shared" si="1"/>
        <v>0</v>
      </c>
      <c r="Q58" s="9"/>
      <c r="R58" s="161" t="s">
        <v>709</v>
      </c>
      <c r="S58" s="124">
        <v>45786</v>
      </c>
      <c r="T58" s="156"/>
      <c r="U58" s="82"/>
    </row>
    <row r="59" ht="54" customHeight="1" spans="1:21">
      <c r="A59" s="91">
        <v>56</v>
      </c>
      <c r="B59" s="40" t="s">
        <v>494</v>
      </c>
      <c r="C59" s="163" t="s">
        <v>725</v>
      </c>
      <c r="D59" s="146" t="s">
        <v>726</v>
      </c>
      <c r="E59" s="91" t="s">
        <v>727</v>
      </c>
      <c r="F59" s="91"/>
      <c r="G59" s="91" t="s">
        <v>497</v>
      </c>
      <c r="H59" s="91" t="s">
        <v>687</v>
      </c>
      <c r="I59" s="48">
        <v>45783</v>
      </c>
      <c r="J59" s="48">
        <v>45793</v>
      </c>
      <c r="K59" s="97">
        <f t="shared" si="0"/>
        <v>9</v>
      </c>
      <c r="L59" s="105" t="s">
        <v>728</v>
      </c>
      <c r="M59" s="9"/>
      <c r="N59" s="9">
        <v>2</v>
      </c>
      <c r="O59" s="9">
        <v>2</v>
      </c>
      <c r="P59" s="99">
        <f t="shared" si="1"/>
        <v>0</v>
      </c>
      <c r="Q59" s="9"/>
      <c r="R59" s="161" t="s">
        <v>729</v>
      </c>
      <c r="S59" s="124">
        <v>45793</v>
      </c>
      <c r="T59" s="156"/>
      <c r="U59" s="82"/>
    </row>
    <row r="60" ht="54" customHeight="1" spans="1:21">
      <c r="A60" s="91">
        <v>57</v>
      </c>
      <c r="B60" s="40" t="s">
        <v>494</v>
      </c>
      <c r="C60" s="146" t="s">
        <v>730</v>
      </c>
      <c r="D60" s="146" t="s">
        <v>731</v>
      </c>
      <c r="E60" s="91" t="s">
        <v>43</v>
      </c>
      <c r="F60" s="91"/>
      <c r="G60" s="91" t="s">
        <v>497</v>
      </c>
      <c r="H60" s="91" t="s">
        <v>682</v>
      </c>
      <c r="I60" s="48">
        <v>45757</v>
      </c>
      <c r="J60" s="48">
        <v>45793</v>
      </c>
      <c r="K60" s="97">
        <f t="shared" si="0"/>
        <v>27</v>
      </c>
      <c r="L60" s="105" t="s">
        <v>732</v>
      </c>
      <c r="M60" s="9">
        <v>2429</v>
      </c>
      <c r="N60" s="9">
        <v>2</v>
      </c>
      <c r="O60" s="9">
        <v>2</v>
      </c>
      <c r="P60" s="99">
        <f t="shared" si="1"/>
        <v>0</v>
      </c>
      <c r="Q60" s="9"/>
      <c r="R60" s="161" t="s">
        <v>729</v>
      </c>
      <c r="S60" s="124">
        <v>45793</v>
      </c>
      <c r="T60" s="156"/>
      <c r="U60" s="82"/>
    </row>
    <row r="61" ht="54" customHeight="1" spans="1:21">
      <c r="A61" s="91">
        <v>58</v>
      </c>
      <c r="B61" s="40" t="s">
        <v>494</v>
      </c>
      <c r="C61" s="146" t="s">
        <v>733</v>
      </c>
      <c r="D61" s="146" t="s">
        <v>734</v>
      </c>
      <c r="E61" s="91" t="s">
        <v>43</v>
      </c>
      <c r="F61" s="91"/>
      <c r="G61" s="91" t="s">
        <v>497</v>
      </c>
      <c r="H61" s="91" t="s">
        <v>682</v>
      </c>
      <c r="I61" s="48">
        <v>45767</v>
      </c>
      <c r="J61" s="48">
        <v>45793</v>
      </c>
      <c r="K61" s="97">
        <f t="shared" si="0"/>
        <v>21</v>
      </c>
      <c r="L61" s="105" t="s">
        <v>735</v>
      </c>
      <c r="M61" s="9">
        <v>1273</v>
      </c>
      <c r="N61" s="9">
        <v>4</v>
      </c>
      <c r="O61" s="9">
        <v>3</v>
      </c>
      <c r="P61" s="99">
        <f t="shared" si="1"/>
        <v>1</v>
      </c>
      <c r="Q61" s="9"/>
      <c r="R61" s="161" t="s">
        <v>729</v>
      </c>
      <c r="S61" s="124">
        <v>45793</v>
      </c>
      <c r="T61" s="156"/>
      <c r="U61" s="82"/>
    </row>
    <row r="62" ht="73" customHeight="1" spans="1:21">
      <c r="A62" s="91">
        <v>59</v>
      </c>
      <c r="B62" s="40" t="s">
        <v>494</v>
      </c>
      <c r="C62" s="146" t="s">
        <v>736</v>
      </c>
      <c r="D62" s="146" t="s">
        <v>737</v>
      </c>
      <c r="E62" s="91" t="s">
        <v>727</v>
      </c>
      <c r="F62" s="91"/>
      <c r="G62" s="91" t="s">
        <v>497</v>
      </c>
      <c r="H62" s="91" t="s">
        <v>698</v>
      </c>
      <c r="I62" s="48">
        <v>45783</v>
      </c>
      <c r="J62" s="48">
        <v>45793</v>
      </c>
      <c r="K62" s="97">
        <f t="shared" si="0"/>
        <v>9</v>
      </c>
      <c r="L62" s="105" t="s">
        <v>738</v>
      </c>
      <c r="M62" s="9"/>
      <c r="N62" s="9">
        <v>0</v>
      </c>
      <c r="O62" s="9">
        <v>0</v>
      </c>
      <c r="P62" s="99">
        <f t="shared" si="1"/>
        <v>0</v>
      </c>
      <c r="Q62" s="9"/>
      <c r="R62" s="161" t="s">
        <v>729</v>
      </c>
      <c r="S62" s="124">
        <v>45793</v>
      </c>
      <c r="T62" s="156"/>
      <c r="U62" s="82"/>
    </row>
    <row r="63" ht="54" customHeight="1" spans="1:21">
      <c r="A63" s="91">
        <v>60</v>
      </c>
      <c r="B63" s="40" t="s">
        <v>585</v>
      </c>
      <c r="C63" s="146" t="s">
        <v>739</v>
      </c>
      <c r="D63" s="146" t="s">
        <v>740</v>
      </c>
      <c r="E63" s="91" t="s">
        <v>720</v>
      </c>
      <c r="F63" s="91"/>
      <c r="G63" s="91" t="s">
        <v>497</v>
      </c>
      <c r="H63" s="99" t="s">
        <v>741</v>
      </c>
      <c r="I63" s="48">
        <v>45766</v>
      </c>
      <c r="J63" s="48">
        <v>45793</v>
      </c>
      <c r="K63" s="97">
        <f t="shared" si="0"/>
        <v>22</v>
      </c>
      <c r="L63" s="105" t="s">
        <v>742</v>
      </c>
      <c r="M63" s="9">
        <v>846</v>
      </c>
      <c r="N63" s="9">
        <v>3</v>
      </c>
      <c r="O63" s="9">
        <v>2</v>
      </c>
      <c r="P63" s="99">
        <f t="shared" si="1"/>
        <v>1</v>
      </c>
      <c r="Q63" s="9"/>
      <c r="R63" s="161" t="s">
        <v>729</v>
      </c>
      <c r="S63" s="124">
        <v>45793</v>
      </c>
      <c r="T63" s="156"/>
      <c r="U63" s="82"/>
    </row>
    <row r="64" ht="83" customHeight="1" spans="1:21">
      <c r="A64" s="91">
        <v>61</v>
      </c>
      <c r="B64" s="91" t="s">
        <v>585</v>
      </c>
      <c r="C64" s="146" t="s">
        <v>743</v>
      </c>
      <c r="D64" s="146" t="s">
        <v>744</v>
      </c>
      <c r="E64" s="91" t="s">
        <v>745</v>
      </c>
      <c r="F64" s="91"/>
      <c r="G64" s="91" t="s">
        <v>497</v>
      </c>
      <c r="H64" s="99" t="s">
        <v>722</v>
      </c>
      <c r="I64" s="48">
        <v>45754</v>
      </c>
      <c r="J64" s="48">
        <v>45800</v>
      </c>
      <c r="K64" s="97">
        <f t="shared" si="0"/>
        <v>35</v>
      </c>
      <c r="L64" s="126" t="s">
        <v>746</v>
      </c>
      <c r="M64" s="91">
        <v>3969</v>
      </c>
      <c r="N64" s="91">
        <v>4</v>
      </c>
      <c r="O64" s="91">
        <v>4</v>
      </c>
      <c r="P64" s="99">
        <f t="shared" si="1"/>
        <v>0</v>
      </c>
      <c r="Q64" s="146"/>
      <c r="R64" s="161" t="s">
        <v>747</v>
      </c>
      <c r="S64" s="124">
        <v>45800</v>
      </c>
      <c r="T64" s="156"/>
      <c r="U64" s="82"/>
    </row>
    <row r="65" ht="83" customHeight="1" spans="1:21">
      <c r="A65" s="91">
        <v>62</v>
      </c>
      <c r="B65" s="91" t="s">
        <v>585</v>
      </c>
      <c r="C65" s="146" t="s">
        <v>748</v>
      </c>
      <c r="D65" s="146" t="s">
        <v>749</v>
      </c>
      <c r="E65" s="91" t="s">
        <v>512</v>
      </c>
      <c r="F65" s="91"/>
      <c r="G65" s="91" t="s">
        <v>497</v>
      </c>
      <c r="H65" s="99" t="s">
        <v>646</v>
      </c>
      <c r="I65" s="48">
        <v>45775</v>
      </c>
      <c r="J65" s="48">
        <v>45796</v>
      </c>
      <c r="K65" s="97">
        <f t="shared" si="0"/>
        <v>16</v>
      </c>
      <c r="L65" s="126"/>
      <c r="M65" s="91">
        <v>31526</v>
      </c>
      <c r="N65" s="91">
        <v>0</v>
      </c>
      <c r="O65" s="91">
        <v>0</v>
      </c>
      <c r="P65" s="99">
        <v>0</v>
      </c>
      <c r="Q65" s="146"/>
      <c r="R65" s="161" t="s">
        <v>747</v>
      </c>
      <c r="S65" s="124">
        <v>45800</v>
      </c>
      <c r="T65" s="156"/>
      <c r="U65" s="82"/>
    </row>
    <row r="66" ht="54" customHeight="1" spans="1:21">
      <c r="A66" s="91">
        <v>63</v>
      </c>
      <c r="B66" s="91" t="s">
        <v>494</v>
      </c>
      <c r="C66" s="146" t="s">
        <v>750</v>
      </c>
      <c r="D66" s="146" t="s">
        <v>751</v>
      </c>
      <c r="E66" s="91" t="s">
        <v>233</v>
      </c>
      <c r="F66" s="91"/>
      <c r="G66" s="91" t="s">
        <v>497</v>
      </c>
      <c r="H66" s="99" t="s">
        <v>752</v>
      </c>
      <c r="I66" s="124">
        <v>45782</v>
      </c>
      <c r="J66" s="124">
        <v>45800</v>
      </c>
      <c r="K66" s="97">
        <f t="shared" si="0"/>
        <v>15</v>
      </c>
      <c r="L66" s="105" t="s">
        <v>753</v>
      </c>
      <c r="M66" s="9">
        <v>6848</v>
      </c>
      <c r="N66" s="9">
        <v>6</v>
      </c>
      <c r="O66" s="9">
        <v>5</v>
      </c>
      <c r="P66" s="99">
        <f t="shared" ref="P66:P76" si="2">N66-O66</f>
        <v>1</v>
      </c>
      <c r="Q66" s="9"/>
      <c r="R66" s="161" t="s">
        <v>747</v>
      </c>
      <c r="S66" s="124">
        <v>45800</v>
      </c>
      <c r="T66" s="156"/>
      <c r="U66" s="82"/>
    </row>
    <row r="67" ht="54" customHeight="1" spans="1:21">
      <c r="A67" s="91">
        <v>64</v>
      </c>
      <c r="B67" s="91" t="s">
        <v>494</v>
      </c>
      <c r="C67" s="146" t="s">
        <v>754</v>
      </c>
      <c r="D67" s="146" t="s">
        <v>755</v>
      </c>
      <c r="E67" s="91" t="s">
        <v>233</v>
      </c>
      <c r="F67" s="91"/>
      <c r="G67" s="91" t="s">
        <v>497</v>
      </c>
      <c r="H67" s="99" t="s">
        <v>752</v>
      </c>
      <c r="I67" s="124">
        <v>45792</v>
      </c>
      <c r="J67" s="124">
        <v>45800</v>
      </c>
      <c r="K67" s="97">
        <f t="shared" si="0"/>
        <v>7</v>
      </c>
      <c r="L67" s="105" t="s">
        <v>756</v>
      </c>
      <c r="M67" s="9">
        <v>7515</v>
      </c>
      <c r="N67" s="9">
        <v>2</v>
      </c>
      <c r="O67" s="9">
        <v>1</v>
      </c>
      <c r="P67" s="99">
        <f t="shared" si="2"/>
        <v>1</v>
      </c>
      <c r="Q67" s="9"/>
      <c r="R67" s="161" t="s">
        <v>747</v>
      </c>
      <c r="S67" s="124">
        <v>45800</v>
      </c>
      <c r="T67" s="156"/>
      <c r="U67" s="82"/>
    </row>
    <row r="68" ht="59" customHeight="1" spans="1:21">
      <c r="A68" s="91">
        <v>65</v>
      </c>
      <c r="B68" s="91" t="s">
        <v>494</v>
      </c>
      <c r="C68" s="146" t="s">
        <v>757</v>
      </c>
      <c r="D68" s="146" t="s">
        <v>758</v>
      </c>
      <c r="E68" s="91" t="s">
        <v>43</v>
      </c>
      <c r="F68" s="91"/>
      <c r="G68" s="91" t="s">
        <v>497</v>
      </c>
      <c r="H68" s="99" t="s">
        <v>752</v>
      </c>
      <c r="I68" s="48">
        <v>45754</v>
      </c>
      <c r="J68" s="124">
        <v>45800</v>
      </c>
      <c r="K68" s="97">
        <f t="shared" si="0"/>
        <v>35</v>
      </c>
      <c r="L68" s="57" t="s">
        <v>759</v>
      </c>
      <c r="M68" s="9">
        <v>752</v>
      </c>
      <c r="N68" s="9">
        <v>6</v>
      </c>
      <c r="O68" s="9">
        <v>5</v>
      </c>
      <c r="P68" s="99">
        <f t="shared" si="2"/>
        <v>1</v>
      </c>
      <c r="Q68" s="9"/>
      <c r="R68" s="161" t="s">
        <v>747</v>
      </c>
      <c r="S68" s="124">
        <v>45800</v>
      </c>
      <c r="T68" s="156"/>
      <c r="U68" s="82"/>
    </row>
    <row r="69" ht="40" customHeight="1" spans="1:21">
      <c r="A69" s="91">
        <v>66</v>
      </c>
      <c r="B69" s="91" t="s">
        <v>494</v>
      </c>
      <c r="C69" s="146" t="s">
        <v>760</v>
      </c>
      <c r="D69" s="146" t="s">
        <v>761</v>
      </c>
      <c r="E69" s="91" t="s">
        <v>20</v>
      </c>
      <c r="F69" s="91"/>
      <c r="G69" s="91" t="s">
        <v>497</v>
      </c>
      <c r="H69" s="99" t="s">
        <v>698</v>
      </c>
      <c r="I69" s="48">
        <v>45728</v>
      </c>
      <c r="J69" s="124">
        <v>45800</v>
      </c>
      <c r="K69" s="97">
        <f t="shared" si="0"/>
        <v>53</v>
      </c>
      <c r="L69" s="141" t="s">
        <v>762</v>
      </c>
      <c r="M69" s="9"/>
      <c r="N69" s="9">
        <v>2</v>
      </c>
      <c r="O69" s="9">
        <v>2</v>
      </c>
      <c r="P69" s="99">
        <f t="shared" si="2"/>
        <v>0</v>
      </c>
      <c r="Q69" s="9"/>
      <c r="R69" s="161" t="s">
        <v>747</v>
      </c>
      <c r="S69" s="124">
        <v>45800</v>
      </c>
      <c r="T69" s="156"/>
      <c r="U69" s="82"/>
    </row>
    <row r="70" ht="40" customHeight="1" spans="1:21">
      <c r="A70" s="91">
        <v>67</v>
      </c>
      <c r="B70" s="91" t="s">
        <v>494</v>
      </c>
      <c r="C70" s="146" t="s">
        <v>763</v>
      </c>
      <c r="D70" s="146" t="s">
        <v>543</v>
      </c>
      <c r="E70" s="91" t="s">
        <v>20</v>
      </c>
      <c r="F70" s="91"/>
      <c r="G70" s="91" t="s">
        <v>497</v>
      </c>
      <c r="H70" s="99" t="s">
        <v>698</v>
      </c>
      <c r="I70" s="48">
        <v>45728</v>
      </c>
      <c r="J70" s="124">
        <v>45800</v>
      </c>
      <c r="K70" s="97">
        <f t="shared" si="0"/>
        <v>53</v>
      </c>
      <c r="L70" s="164"/>
      <c r="M70" s="9"/>
      <c r="N70" s="9">
        <v>7</v>
      </c>
      <c r="O70" s="9">
        <v>4</v>
      </c>
      <c r="P70" s="99">
        <f t="shared" si="2"/>
        <v>3</v>
      </c>
      <c r="Q70" s="9"/>
      <c r="R70" s="161" t="s">
        <v>747</v>
      </c>
      <c r="S70" s="124">
        <v>45800</v>
      </c>
      <c r="T70" s="156"/>
      <c r="U70" s="82"/>
    </row>
    <row r="71" ht="40" customHeight="1" spans="1:21">
      <c r="A71" s="91">
        <v>68</v>
      </c>
      <c r="B71" s="91" t="s">
        <v>494</v>
      </c>
      <c r="C71" s="146" t="s">
        <v>764</v>
      </c>
      <c r="D71" s="146" t="s">
        <v>765</v>
      </c>
      <c r="E71" s="91" t="s">
        <v>20</v>
      </c>
      <c r="F71" s="91"/>
      <c r="G71" s="91" t="s">
        <v>497</v>
      </c>
      <c r="H71" s="99" t="s">
        <v>698</v>
      </c>
      <c r="I71" s="48">
        <v>45728</v>
      </c>
      <c r="J71" s="124">
        <v>45800</v>
      </c>
      <c r="K71" s="97">
        <f t="shared" si="0"/>
        <v>53</v>
      </c>
      <c r="L71" s="165"/>
      <c r="M71" s="9"/>
      <c r="N71" s="9">
        <v>4</v>
      </c>
      <c r="O71" s="9">
        <v>4</v>
      </c>
      <c r="P71" s="99">
        <f t="shared" si="2"/>
        <v>0</v>
      </c>
      <c r="Q71" s="9"/>
      <c r="R71" s="161" t="s">
        <v>747</v>
      </c>
      <c r="S71" s="124">
        <v>45800</v>
      </c>
      <c r="T71" s="156"/>
      <c r="U71" s="82"/>
    </row>
    <row r="72" customHeight="1" spans="1:21">
      <c r="A72" s="91">
        <v>69</v>
      </c>
      <c r="B72" s="91" t="s">
        <v>494</v>
      </c>
      <c r="C72" s="146" t="s">
        <v>766</v>
      </c>
      <c r="D72" s="105" t="s">
        <v>767</v>
      </c>
      <c r="E72" s="91" t="s">
        <v>669</v>
      </c>
      <c r="F72" s="91"/>
      <c r="G72" s="91" t="s">
        <v>497</v>
      </c>
      <c r="H72" s="91" t="s">
        <v>658</v>
      </c>
      <c r="I72" s="124">
        <v>45803</v>
      </c>
      <c r="J72" s="124">
        <v>45807</v>
      </c>
      <c r="K72" s="97">
        <v>5</v>
      </c>
      <c r="L72" s="57" t="s">
        <v>768</v>
      </c>
      <c r="M72" s="9" t="s">
        <v>769</v>
      </c>
      <c r="N72" s="9">
        <v>2</v>
      </c>
      <c r="O72" s="9">
        <v>2</v>
      </c>
      <c r="P72" s="99">
        <f t="shared" si="2"/>
        <v>0</v>
      </c>
      <c r="Q72" s="9"/>
      <c r="R72" s="161" t="s">
        <v>770</v>
      </c>
      <c r="S72" s="124">
        <v>45807</v>
      </c>
      <c r="T72" s="156"/>
      <c r="U72" s="82"/>
    </row>
    <row r="73" customHeight="1" spans="1:21">
      <c r="A73" s="91">
        <v>70</v>
      </c>
      <c r="B73" s="91" t="s">
        <v>494</v>
      </c>
      <c r="C73" s="146" t="s">
        <v>766</v>
      </c>
      <c r="D73" s="105" t="s">
        <v>771</v>
      </c>
      <c r="E73" s="91" t="s">
        <v>669</v>
      </c>
      <c r="F73" s="40"/>
      <c r="G73" s="91" t="s">
        <v>497</v>
      </c>
      <c r="H73" s="91" t="s">
        <v>658</v>
      </c>
      <c r="I73" s="124">
        <v>45803</v>
      </c>
      <c r="J73" s="124">
        <v>45807</v>
      </c>
      <c r="K73" s="97">
        <v>5</v>
      </c>
      <c r="L73" s="57" t="s">
        <v>768</v>
      </c>
      <c r="M73" s="9" t="s">
        <v>769</v>
      </c>
      <c r="N73" s="9">
        <v>2</v>
      </c>
      <c r="O73" s="9">
        <v>2</v>
      </c>
      <c r="P73" s="99">
        <f t="shared" si="2"/>
        <v>0</v>
      </c>
      <c r="Q73" s="9"/>
      <c r="R73" s="161" t="s">
        <v>770</v>
      </c>
      <c r="S73" s="124">
        <v>45807</v>
      </c>
      <c r="T73" s="156"/>
      <c r="U73" s="82"/>
    </row>
    <row r="74" ht="34" customHeight="1" spans="1:21">
      <c r="A74" s="91">
        <v>71</v>
      </c>
      <c r="B74" s="91" t="s">
        <v>494</v>
      </c>
      <c r="C74" s="146" t="s">
        <v>766</v>
      </c>
      <c r="D74" s="105" t="s">
        <v>772</v>
      </c>
      <c r="E74" s="91" t="s">
        <v>669</v>
      </c>
      <c r="F74" s="40"/>
      <c r="G74" s="91" t="s">
        <v>497</v>
      </c>
      <c r="H74" s="91" t="s">
        <v>658</v>
      </c>
      <c r="I74" s="124">
        <v>45803</v>
      </c>
      <c r="J74" s="124">
        <v>45807</v>
      </c>
      <c r="K74" s="97">
        <v>5</v>
      </c>
      <c r="L74" s="57" t="s">
        <v>768</v>
      </c>
      <c r="M74" s="9" t="s">
        <v>769</v>
      </c>
      <c r="N74" s="9">
        <v>2</v>
      </c>
      <c r="O74" s="9">
        <v>2</v>
      </c>
      <c r="P74" s="99">
        <f t="shared" si="2"/>
        <v>0</v>
      </c>
      <c r="Q74" s="9"/>
      <c r="R74" s="161" t="s">
        <v>770</v>
      </c>
      <c r="S74" s="124">
        <v>45807</v>
      </c>
      <c r="T74" s="156"/>
      <c r="U74" s="82"/>
    </row>
    <row r="75" ht="76" customHeight="1" spans="1:21">
      <c r="A75" s="91">
        <v>72</v>
      </c>
      <c r="B75" s="91" t="s">
        <v>494</v>
      </c>
      <c r="C75" s="105" t="s">
        <v>773</v>
      </c>
      <c r="D75" s="105" t="s">
        <v>774</v>
      </c>
      <c r="E75" s="99" t="s">
        <v>701</v>
      </c>
      <c r="F75" s="105"/>
      <c r="G75" s="99" t="s">
        <v>497</v>
      </c>
      <c r="H75" s="99" t="s">
        <v>682</v>
      </c>
      <c r="I75" s="166">
        <v>45783</v>
      </c>
      <c r="J75" s="166">
        <v>45814</v>
      </c>
      <c r="K75" s="97">
        <f t="shared" ref="K75:K81" si="3">((J75-I75)+1)-ROUNDDOWN((J75-I75)/7,0)*2</f>
        <v>24</v>
      </c>
      <c r="L75" s="105" t="s">
        <v>775</v>
      </c>
      <c r="M75" s="99">
        <v>4187</v>
      </c>
      <c r="N75" s="99">
        <v>8</v>
      </c>
      <c r="O75" s="99">
        <v>6</v>
      </c>
      <c r="P75" s="99">
        <v>2</v>
      </c>
      <c r="Q75" s="99"/>
      <c r="R75" s="167" t="s">
        <v>776</v>
      </c>
      <c r="S75" s="166">
        <v>45814</v>
      </c>
      <c r="T75" s="168"/>
      <c r="U75" s="82"/>
    </row>
    <row r="76" ht="46" customHeight="1" spans="1:21">
      <c r="A76" s="91">
        <v>73</v>
      </c>
      <c r="B76" s="91" t="s">
        <v>494</v>
      </c>
      <c r="C76" s="105" t="s">
        <v>777</v>
      </c>
      <c r="D76" s="105" t="s">
        <v>778</v>
      </c>
      <c r="E76" s="99" t="s">
        <v>701</v>
      </c>
      <c r="F76" s="105"/>
      <c r="G76" s="99" t="s">
        <v>497</v>
      </c>
      <c r="H76" s="99" t="s">
        <v>658</v>
      </c>
      <c r="I76" s="166">
        <v>45783</v>
      </c>
      <c r="J76" s="166">
        <v>45814</v>
      </c>
      <c r="K76" s="97">
        <f t="shared" si="3"/>
        <v>24</v>
      </c>
      <c r="L76" s="105" t="s">
        <v>779</v>
      </c>
      <c r="M76" s="99">
        <v>98</v>
      </c>
      <c r="N76" s="99">
        <v>6</v>
      </c>
      <c r="O76" s="99">
        <v>5</v>
      </c>
      <c r="P76" s="99">
        <v>1</v>
      </c>
      <c r="Q76" s="105"/>
      <c r="R76" s="167" t="s">
        <v>776</v>
      </c>
      <c r="S76" s="166">
        <v>45814</v>
      </c>
      <c r="T76" s="168"/>
      <c r="U76" s="82"/>
    </row>
    <row r="77" ht="51" customHeight="1" spans="1:21">
      <c r="A77" s="91">
        <v>74</v>
      </c>
      <c r="B77" s="91" t="s">
        <v>494</v>
      </c>
      <c r="C77" s="105" t="s">
        <v>780</v>
      </c>
      <c r="D77" s="105" t="s">
        <v>781</v>
      </c>
      <c r="E77" s="99" t="s">
        <v>124</v>
      </c>
      <c r="F77" s="105"/>
      <c r="G77" s="99" t="s">
        <v>497</v>
      </c>
      <c r="H77" s="99" t="s">
        <v>687</v>
      </c>
      <c r="I77" s="166">
        <v>45789</v>
      </c>
      <c r="J77" s="166">
        <v>45814</v>
      </c>
      <c r="K77" s="97">
        <f t="shared" si="3"/>
        <v>20</v>
      </c>
      <c r="L77" s="105" t="s">
        <v>782</v>
      </c>
      <c r="M77" s="105" t="s">
        <v>783</v>
      </c>
      <c r="N77" s="99">
        <v>5</v>
      </c>
      <c r="O77" s="99">
        <v>4</v>
      </c>
      <c r="P77" s="99">
        <v>1</v>
      </c>
      <c r="Q77" s="99"/>
      <c r="R77" s="167" t="s">
        <v>776</v>
      </c>
      <c r="S77" s="166">
        <v>45814</v>
      </c>
      <c r="T77" s="168"/>
      <c r="U77" s="82"/>
    </row>
    <row r="78" ht="49" customHeight="1" spans="1:21">
      <c r="A78" s="91">
        <v>75</v>
      </c>
      <c r="B78" s="91" t="s">
        <v>494</v>
      </c>
      <c r="C78" s="105" t="s">
        <v>784</v>
      </c>
      <c r="D78" s="105" t="s">
        <v>785</v>
      </c>
      <c r="E78" s="99" t="s">
        <v>124</v>
      </c>
      <c r="F78" s="105"/>
      <c r="G78" s="99" t="s">
        <v>497</v>
      </c>
      <c r="H78" s="99" t="s">
        <v>687</v>
      </c>
      <c r="I78" s="166">
        <v>45789</v>
      </c>
      <c r="J78" s="166">
        <v>45814</v>
      </c>
      <c r="K78" s="97">
        <f t="shared" si="3"/>
        <v>20</v>
      </c>
      <c r="L78" s="105" t="s">
        <v>786</v>
      </c>
      <c r="M78" s="105" t="s">
        <v>787</v>
      </c>
      <c r="N78" s="99">
        <v>4</v>
      </c>
      <c r="O78" s="99">
        <v>3</v>
      </c>
      <c r="P78" s="99">
        <v>1</v>
      </c>
      <c r="Q78" s="99"/>
      <c r="R78" s="167" t="s">
        <v>776</v>
      </c>
      <c r="S78" s="166">
        <v>45814</v>
      </c>
      <c r="T78" s="168"/>
      <c r="U78" s="82"/>
    </row>
    <row r="79" ht="45" customHeight="1" spans="1:21">
      <c r="A79" s="91">
        <v>76</v>
      </c>
      <c r="B79" s="91" t="s">
        <v>494</v>
      </c>
      <c r="C79" s="105" t="s">
        <v>788</v>
      </c>
      <c r="D79" s="105" t="s">
        <v>789</v>
      </c>
      <c r="E79" s="99" t="s">
        <v>124</v>
      </c>
      <c r="F79" s="105"/>
      <c r="G79" s="99" t="s">
        <v>497</v>
      </c>
      <c r="H79" s="99" t="s">
        <v>687</v>
      </c>
      <c r="I79" s="166">
        <v>45789</v>
      </c>
      <c r="J79" s="166">
        <v>45814</v>
      </c>
      <c r="K79" s="97">
        <f t="shared" si="3"/>
        <v>20</v>
      </c>
      <c r="L79" s="105"/>
      <c r="M79" s="105" t="s">
        <v>790</v>
      </c>
      <c r="N79" s="99">
        <v>2</v>
      </c>
      <c r="O79" s="99">
        <v>2</v>
      </c>
      <c r="P79" s="99">
        <v>0</v>
      </c>
      <c r="Q79" s="99"/>
      <c r="R79" s="167" t="s">
        <v>776</v>
      </c>
      <c r="S79" s="166">
        <v>45814</v>
      </c>
      <c r="T79" s="168"/>
      <c r="U79" s="82"/>
    </row>
    <row r="80" ht="83" customHeight="1" spans="1:21">
      <c r="A80" s="91">
        <v>77</v>
      </c>
      <c r="B80" s="91" t="s">
        <v>494</v>
      </c>
      <c r="C80" s="105" t="s">
        <v>791</v>
      </c>
      <c r="D80" s="105" t="s">
        <v>792</v>
      </c>
      <c r="E80" s="99" t="s">
        <v>20</v>
      </c>
      <c r="F80" s="105"/>
      <c r="G80" s="99" t="s">
        <v>497</v>
      </c>
      <c r="H80" s="99" t="s">
        <v>698</v>
      </c>
      <c r="I80" s="166">
        <v>45789</v>
      </c>
      <c r="J80" s="166">
        <v>45821</v>
      </c>
      <c r="K80" s="97">
        <f t="shared" si="3"/>
        <v>25</v>
      </c>
      <c r="L80" s="105" t="s">
        <v>793</v>
      </c>
      <c r="M80" s="99">
        <v>287</v>
      </c>
      <c r="N80" s="99">
        <v>2</v>
      </c>
      <c r="O80" s="99">
        <v>2</v>
      </c>
      <c r="P80" s="99">
        <v>0</v>
      </c>
      <c r="Q80" s="99"/>
      <c r="R80" s="169" t="s">
        <v>794</v>
      </c>
      <c r="S80" s="166">
        <v>45821</v>
      </c>
      <c r="T80" s="168"/>
      <c r="U80" s="82"/>
    </row>
    <row r="81" customHeight="1" spans="1:21">
      <c r="A81" s="91">
        <v>78</v>
      </c>
      <c r="B81" s="91" t="s">
        <v>585</v>
      </c>
      <c r="C81" s="105" t="s">
        <v>795</v>
      </c>
      <c r="D81" s="105" t="s">
        <v>796</v>
      </c>
      <c r="E81" s="40" t="s">
        <v>745</v>
      </c>
      <c r="F81" s="40"/>
      <c r="G81" s="40" t="s">
        <v>497</v>
      </c>
      <c r="H81" s="40" t="s">
        <v>646</v>
      </c>
      <c r="I81" s="166">
        <v>45811</v>
      </c>
      <c r="J81" s="166">
        <v>45821</v>
      </c>
      <c r="K81" s="97">
        <f t="shared" si="3"/>
        <v>9</v>
      </c>
      <c r="L81" s="57"/>
      <c r="M81" s="9">
        <v>22801</v>
      </c>
      <c r="N81" s="9">
        <v>3</v>
      </c>
      <c r="O81" s="9">
        <v>3</v>
      </c>
      <c r="P81" s="9">
        <v>0</v>
      </c>
      <c r="Q81" s="9"/>
      <c r="R81" s="169" t="s">
        <v>794</v>
      </c>
      <c r="S81" s="166">
        <v>45821</v>
      </c>
      <c r="T81" s="168"/>
      <c r="U81" s="82"/>
    </row>
    <row r="82" customHeight="1" spans="1:21">
      <c r="A82" s="91">
        <v>79</v>
      </c>
      <c r="B82" s="40" t="s">
        <v>585</v>
      </c>
      <c r="C82" s="105" t="s">
        <v>739</v>
      </c>
      <c r="D82" s="170" t="s">
        <v>740</v>
      </c>
      <c r="E82" s="99" t="s">
        <v>745</v>
      </c>
      <c r="F82" s="40"/>
      <c r="G82" s="99" t="s">
        <v>497</v>
      </c>
      <c r="H82" s="99" t="s">
        <v>646</v>
      </c>
      <c r="I82" s="166">
        <v>45805</v>
      </c>
      <c r="J82" s="166">
        <v>45821</v>
      </c>
      <c r="K82" s="99">
        <v>14</v>
      </c>
      <c r="L82" s="105" t="s">
        <v>797</v>
      </c>
      <c r="M82" s="99">
        <v>846</v>
      </c>
      <c r="N82" s="99"/>
      <c r="O82" s="99"/>
      <c r="P82" s="99"/>
      <c r="Q82" s="99"/>
      <c r="R82" s="167" t="s">
        <v>794</v>
      </c>
      <c r="S82" s="166">
        <v>45821</v>
      </c>
      <c r="T82" s="168"/>
      <c r="U82" s="82"/>
    </row>
    <row r="83" ht="75" customHeight="1" spans="1:21">
      <c r="A83" s="91">
        <v>80</v>
      </c>
      <c r="B83" s="40" t="s">
        <v>494</v>
      </c>
      <c r="C83" s="146" t="s">
        <v>798</v>
      </c>
      <c r="D83" s="146" t="s">
        <v>799</v>
      </c>
      <c r="E83" s="91" t="s">
        <v>93</v>
      </c>
      <c r="F83" s="40"/>
      <c r="G83" s="91" t="s">
        <v>497</v>
      </c>
      <c r="H83" s="99" t="s">
        <v>682</v>
      </c>
      <c r="I83" s="124">
        <v>45814</v>
      </c>
      <c r="J83" s="124">
        <v>45828</v>
      </c>
      <c r="K83" s="97">
        <f t="shared" ref="K83:K90" si="4">((J83-I83)+1)-ROUNDDOWN((J83-I83)/7,0)*2</f>
        <v>11</v>
      </c>
      <c r="L83" s="105" t="s">
        <v>800</v>
      </c>
      <c r="M83" s="91">
        <v>253</v>
      </c>
      <c r="N83" s="91">
        <v>2</v>
      </c>
      <c r="O83" s="91">
        <v>2</v>
      </c>
      <c r="P83" s="99">
        <f>N83-O83</f>
        <v>0</v>
      </c>
      <c r="Q83" s="91"/>
      <c r="R83" s="161" t="s">
        <v>801</v>
      </c>
      <c r="S83" s="124">
        <v>45828</v>
      </c>
      <c r="T83" s="156"/>
      <c r="U83" s="82"/>
    </row>
    <row r="84" ht="93" customHeight="1" spans="1:21">
      <c r="A84" s="91">
        <v>81</v>
      </c>
      <c r="B84" s="91" t="s">
        <v>494</v>
      </c>
      <c r="C84" s="146" t="s">
        <v>802</v>
      </c>
      <c r="D84" s="146" t="s">
        <v>803</v>
      </c>
      <c r="E84" s="91" t="s">
        <v>93</v>
      </c>
      <c r="F84" s="91"/>
      <c r="G84" s="91" t="s">
        <v>497</v>
      </c>
      <c r="H84" s="99" t="s">
        <v>682</v>
      </c>
      <c r="I84" s="124">
        <v>45748</v>
      </c>
      <c r="J84" s="124">
        <v>45800</v>
      </c>
      <c r="K84" s="97">
        <f t="shared" si="4"/>
        <v>39</v>
      </c>
      <c r="L84" s="105" t="s">
        <v>804</v>
      </c>
      <c r="M84" s="99">
        <v>723</v>
      </c>
      <c r="N84" s="99">
        <v>3</v>
      </c>
      <c r="O84" s="99">
        <v>3</v>
      </c>
      <c r="P84" s="99">
        <f>N84-O84</f>
        <v>0</v>
      </c>
      <c r="Q84" s="99"/>
      <c r="R84" s="161" t="s">
        <v>801</v>
      </c>
      <c r="S84" s="124">
        <v>45828</v>
      </c>
      <c r="T84" s="156"/>
      <c r="U84" s="82"/>
    </row>
    <row r="85" ht="53" customHeight="1" spans="1:21">
      <c r="A85" s="91">
        <v>82</v>
      </c>
      <c r="B85" s="40" t="s">
        <v>494</v>
      </c>
      <c r="C85" s="146" t="s">
        <v>766</v>
      </c>
      <c r="D85" s="146" t="s">
        <v>805</v>
      </c>
      <c r="E85" s="40" t="s">
        <v>311</v>
      </c>
      <c r="F85" s="40"/>
      <c r="G85" s="91" t="s">
        <v>497</v>
      </c>
      <c r="H85" s="91" t="s">
        <v>658</v>
      </c>
      <c r="I85" s="124">
        <v>45824</v>
      </c>
      <c r="J85" s="124">
        <v>45828</v>
      </c>
      <c r="K85" s="97">
        <f t="shared" si="4"/>
        <v>5</v>
      </c>
      <c r="L85" s="171" t="s">
        <v>806</v>
      </c>
      <c r="M85" s="124" t="s">
        <v>807</v>
      </c>
      <c r="N85" s="124"/>
      <c r="O85" s="124"/>
      <c r="P85" s="124"/>
      <c r="Q85" s="124"/>
      <c r="R85" s="161" t="s">
        <v>801</v>
      </c>
      <c r="S85" s="124">
        <v>45828</v>
      </c>
      <c r="T85" s="156"/>
      <c r="U85" s="82"/>
    </row>
    <row r="86" ht="55" customHeight="1" spans="1:21">
      <c r="A86" s="91">
        <v>83</v>
      </c>
      <c r="B86" s="91" t="s">
        <v>494</v>
      </c>
      <c r="C86" s="146" t="s">
        <v>808</v>
      </c>
      <c r="D86" s="146" t="s">
        <v>809</v>
      </c>
      <c r="E86" s="91" t="s">
        <v>701</v>
      </c>
      <c r="F86" s="146"/>
      <c r="G86" s="91" t="s">
        <v>497</v>
      </c>
      <c r="H86" s="91" t="s">
        <v>698</v>
      </c>
      <c r="I86" s="124">
        <v>45825</v>
      </c>
      <c r="J86" s="124">
        <v>45848</v>
      </c>
      <c r="K86" s="97">
        <f t="shared" si="4"/>
        <v>18</v>
      </c>
      <c r="L86" s="171" t="s">
        <v>810</v>
      </c>
      <c r="M86" s="99">
        <v>93</v>
      </c>
      <c r="N86" s="99">
        <v>5</v>
      </c>
      <c r="O86" s="99">
        <v>4</v>
      </c>
      <c r="P86" s="99">
        <v>1</v>
      </c>
      <c r="Q86" s="9"/>
      <c r="R86" s="161" t="s">
        <v>811</v>
      </c>
      <c r="S86" s="124">
        <v>45849</v>
      </c>
      <c r="T86" s="156"/>
      <c r="U86" s="82"/>
    </row>
    <row r="87" ht="138" customHeight="1" spans="1:21">
      <c r="A87" s="91">
        <v>84</v>
      </c>
      <c r="B87" s="91" t="s">
        <v>585</v>
      </c>
      <c r="C87" s="146" t="s">
        <v>812</v>
      </c>
      <c r="D87" s="146" t="s">
        <v>813</v>
      </c>
      <c r="E87" s="91" t="s">
        <v>727</v>
      </c>
      <c r="F87" s="40"/>
      <c r="G87" s="91" t="s">
        <v>497</v>
      </c>
      <c r="H87" s="99" t="s">
        <v>814</v>
      </c>
      <c r="I87" s="48">
        <v>45847</v>
      </c>
      <c r="J87" s="124">
        <v>45856</v>
      </c>
      <c r="K87" s="97">
        <f t="shared" si="4"/>
        <v>8</v>
      </c>
      <c r="L87" s="171" t="s">
        <v>815</v>
      </c>
      <c r="M87" s="99">
        <v>1501</v>
      </c>
      <c r="N87" s="99">
        <v>2</v>
      </c>
      <c r="O87" s="99">
        <v>2</v>
      </c>
      <c r="P87" s="99">
        <v>0</v>
      </c>
      <c r="Q87" s="99"/>
      <c r="R87" s="161" t="s">
        <v>816</v>
      </c>
      <c r="S87" s="124">
        <v>45856</v>
      </c>
      <c r="T87" s="156"/>
      <c r="U87" s="82"/>
    </row>
    <row r="88" ht="95" customHeight="1" spans="1:21">
      <c r="A88" s="91">
        <v>85</v>
      </c>
      <c r="B88" s="91" t="s">
        <v>585</v>
      </c>
      <c r="C88" s="105" t="s">
        <v>817</v>
      </c>
      <c r="D88" s="105" t="s">
        <v>818</v>
      </c>
      <c r="E88" s="99" t="s">
        <v>720</v>
      </c>
      <c r="F88" s="105"/>
      <c r="G88" s="99" t="s">
        <v>497</v>
      </c>
      <c r="H88" s="99" t="s">
        <v>646</v>
      </c>
      <c r="I88" s="166">
        <v>45811</v>
      </c>
      <c r="J88" s="166">
        <v>45863</v>
      </c>
      <c r="K88" s="97">
        <f t="shared" si="4"/>
        <v>39</v>
      </c>
      <c r="L88" s="105" t="s">
        <v>819</v>
      </c>
      <c r="M88" s="99">
        <v>21163</v>
      </c>
      <c r="N88" s="99">
        <v>7</v>
      </c>
      <c r="O88" s="99">
        <v>6</v>
      </c>
      <c r="P88" s="99">
        <v>1</v>
      </c>
      <c r="Q88" s="99"/>
      <c r="R88" s="167" t="s">
        <v>820</v>
      </c>
      <c r="S88" s="166">
        <v>45863</v>
      </c>
      <c r="T88" s="168"/>
      <c r="U88" s="82"/>
    </row>
    <row r="89" ht="138" customHeight="1" spans="1:21">
      <c r="A89" s="91">
        <v>86</v>
      </c>
      <c r="B89" s="91" t="s">
        <v>585</v>
      </c>
      <c r="C89" s="146" t="s">
        <v>821</v>
      </c>
      <c r="D89" s="146" t="s">
        <v>822</v>
      </c>
      <c r="E89" s="91" t="s">
        <v>727</v>
      </c>
      <c r="F89" s="91"/>
      <c r="G89" s="91" t="s">
        <v>497</v>
      </c>
      <c r="H89" s="91" t="s">
        <v>658</v>
      </c>
      <c r="I89" s="124">
        <v>45769</v>
      </c>
      <c r="J89" s="124">
        <v>45855</v>
      </c>
      <c r="K89" s="97">
        <f t="shared" si="4"/>
        <v>63</v>
      </c>
      <c r="L89" s="171" t="s">
        <v>823</v>
      </c>
      <c r="M89" s="99">
        <v>120</v>
      </c>
      <c r="N89" s="99">
        <v>7</v>
      </c>
      <c r="O89" s="99">
        <v>6</v>
      </c>
      <c r="P89" s="99">
        <v>1</v>
      </c>
      <c r="Q89" s="99"/>
      <c r="R89" s="161" t="s">
        <v>820</v>
      </c>
      <c r="S89" s="124">
        <v>45863</v>
      </c>
      <c r="T89" s="156"/>
      <c r="U89" s="172" t="s">
        <v>824</v>
      </c>
    </row>
    <row r="90" ht="66" customHeight="1" spans="1:21">
      <c r="A90" s="91">
        <v>87</v>
      </c>
      <c r="B90" s="91" t="s">
        <v>494</v>
      </c>
      <c r="C90" s="91" t="s">
        <v>825</v>
      </c>
      <c r="D90" s="146" t="s">
        <v>826</v>
      </c>
      <c r="E90" s="91" t="s">
        <v>93</v>
      </c>
      <c r="F90" s="91"/>
      <c r="G90" s="91" t="s">
        <v>497</v>
      </c>
      <c r="H90" s="91" t="s">
        <v>651</v>
      </c>
      <c r="I90" s="124">
        <v>45853</v>
      </c>
      <c r="J90" s="124">
        <v>45863</v>
      </c>
      <c r="K90" s="97">
        <f t="shared" si="4"/>
        <v>9</v>
      </c>
      <c r="L90" s="105" t="s">
        <v>827</v>
      </c>
      <c r="M90" s="91">
        <v>1485</v>
      </c>
      <c r="N90" s="91">
        <v>5</v>
      </c>
      <c r="O90" s="91">
        <v>4</v>
      </c>
      <c r="P90" s="91">
        <v>1</v>
      </c>
      <c r="Q90" s="91"/>
      <c r="R90" s="161" t="s">
        <v>820</v>
      </c>
      <c r="S90" s="124">
        <v>45863</v>
      </c>
      <c r="T90" s="156"/>
      <c r="U90" s="82"/>
    </row>
    <row r="91" ht="94" customHeight="1" spans="1:21">
      <c r="A91" s="91">
        <v>88</v>
      </c>
      <c r="B91" s="40" t="s">
        <v>494</v>
      </c>
      <c r="C91" s="91" t="s">
        <v>828</v>
      </c>
      <c r="D91" s="146" t="s">
        <v>829</v>
      </c>
      <c r="E91" s="91" t="s">
        <v>20</v>
      </c>
      <c r="F91" s="40" t="s">
        <v>830</v>
      </c>
      <c r="G91" s="40" t="s">
        <v>497</v>
      </c>
      <c r="H91" s="99" t="s">
        <v>651</v>
      </c>
      <c r="I91" s="124">
        <v>45483</v>
      </c>
      <c r="J91" s="124">
        <v>45505</v>
      </c>
      <c r="K91" s="97">
        <v>16</v>
      </c>
      <c r="L91" s="105" t="s">
        <v>831</v>
      </c>
      <c r="M91" s="91">
        <v>475</v>
      </c>
      <c r="N91" s="91">
        <v>10</v>
      </c>
      <c r="O91" s="91">
        <v>9</v>
      </c>
      <c r="P91" s="91">
        <v>1</v>
      </c>
      <c r="Q91" s="91"/>
      <c r="R91" s="161" t="s">
        <v>832</v>
      </c>
      <c r="S91" s="124">
        <v>45870</v>
      </c>
      <c r="T91" s="156"/>
      <c r="U91" s="82"/>
    </row>
    <row r="92" ht="87" customHeight="1" spans="1:21">
      <c r="A92" s="91">
        <v>89</v>
      </c>
      <c r="B92" s="40" t="s">
        <v>494</v>
      </c>
      <c r="C92" s="40" t="s">
        <v>833</v>
      </c>
      <c r="D92" s="146" t="s">
        <v>834</v>
      </c>
      <c r="E92" s="91" t="s">
        <v>20</v>
      </c>
      <c r="F92" s="40" t="s">
        <v>830</v>
      </c>
      <c r="G92" s="40" t="s">
        <v>497</v>
      </c>
      <c r="H92" s="99" t="s">
        <v>646</v>
      </c>
      <c r="I92" s="124">
        <v>45483</v>
      </c>
      <c r="J92" s="124">
        <v>45505</v>
      </c>
      <c r="K92" s="97">
        <v>16</v>
      </c>
      <c r="L92" s="105" t="s">
        <v>831</v>
      </c>
      <c r="M92" s="91">
        <v>407</v>
      </c>
      <c r="N92" s="91">
        <v>10</v>
      </c>
      <c r="O92" s="91">
        <v>9</v>
      </c>
      <c r="P92" s="91">
        <v>1</v>
      </c>
      <c r="Q92" s="91"/>
      <c r="R92" s="161" t="s">
        <v>832</v>
      </c>
      <c r="S92" s="124">
        <v>45870</v>
      </c>
      <c r="T92" s="156"/>
      <c r="U92" s="82"/>
    </row>
    <row r="93" ht="112" customHeight="1" spans="1:21">
      <c r="A93" s="91">
        <v>90</v>
      </c>
      <c r="B93" s="91" t="s">
        <v>585</v>
      </c>
      <c r="C93" s="146" t="s">
        <v>835</v>
      </c>
      <c r="D93" s="146" t="s">
        <v>836</v>
      </c>
      <c r="E93" s="91" t="s">
        <v>745</v>
      </c>
      <c r="F93" s="91" t="s">
        <v>98</v>
      </c>
      <c r="G93" s="91" t="s">
        <v>497</v>
      </c>
      <c r="H93" s="91" t="s">
        <v>658</v>
      </c>
      <c r="I93" s="124">
        <v>45846</v>
      </c>
      <c r="J93" s="124">
        <v>45877</v>
      </c>
      <c r="K93" s="99">
        <v>30</v>
      </c>
      <c r="L93" s="105" t="s">
        <v>837</v>
      </c>
      <c r="M93" s="9">
        <v>4878</v>
      </c>
      <c r="N93" s="9">
        <v>5</v>
      </c>
      <c r="O93" s="9">
        <v>4</v>
      </c>
      <c r="P93" s="9">
        <v>1</v>
      </c>
      <c r="Q93" s="9"/>
      <c r="R93" s="161" t="s">
        <v>838</v>
      </c>
      <c r="S93" s="124">
        <v>45877</v>
      </c>
      <c r="T93" s="156"/>
      <c r="U93" s="82"/>
    </row>
    <row r="94" ht="107" customHeight="1" spans="1:21">
      <c r="A94" s="91">
        <v>91</v>
      </c>
      <c r="B94" s="91" t="s">
        <v>585</v>
      </c>
      <c r="C94" s="146" t="s">
        <v>839</v>
      </c>
      <c r="D94" s="146" t="s">
        <v>613</v>
      </c>
      <c r="E94" s="91" t="s">
        <v>745</v>
      </c>
      <c r="F94" s="91" t="s">
        <v>98</v>
      </c>
      <c r="G94" s="91" t="s">
        <v>497</v>
      </c>
      <c r="H94" s="91" t="s">
        <v>658</v>
      </c>
      <c r="I94" s="124">
        <v>45860</v>
      </c>
      <c r="J94" s="124">
        <v>45877</v>
      </c>
      <c r="K94" s="91">
        <v>15</v>
      </c>
      <c r="L94" s="105" t="s">
        <v>840</v>
      </c>
      <c r="M94" s="91">
        <v>4667</v>
      </c>
      <c r="N94" s="91">
        <v>2</v>
      </c>
      <c r="O94" s="91">
        <v>2</v>
      </c>
      <c r="P94" s="91">
        <v>0</v>
      </c>
      <c r="Q94" s="91"/>
      <c r="R94" s="161" t="s">
        <v>838</v>
      </c>
      <c r="S94" s="124">
        <v>45877</v>
      </c>
      <c r="T94" s="156"/>
      <c r="U94" s="82"/>
    </row>
    <row r="95" ht="88" customHeight="1" spans="1:21">
      <c r="A95" s="91">
        <v>92</v>
      </c>
      <c r="B95" s="91" t="s">
        <v>585</v>
      </c>
      <c r="C95" s="91" t="s">
        <v>841</v>
      </c>
      <c r="D95" s="146" t="s">
        <v>842</v>
      </c>
      <c r="E95" s="91" t="s">
        <v>727</v>
      </c>
      <c r="F95" s="91" t="s">
        <v>315</v>
      </c>
      <c r="G95" s="91" t="s">
        <v>497</v>
      </c>
      <c r="H95" s="91" t="s">
        <v>687</v>
      </c>
      <c r="I95" s="124">
        <v>45859</v>
      </c>
      <c r="J95" s="124">
        <v>45890</v>
      </c>
      <c r="K95" s="91">
        <v>22</v>
      </c>
      <c r="L95" s="105" t="s">
        <v>843</v>
      </c>
      <c r="M95" s="91">
        <v>3080</v>
      </c>
      <c r="N95" s="91">
        <v>2</v>
      </c>
      <c r="O95" s="91">
        <v>2</v>
      </c>
      <c r="P95" s="91">
        <v>0</v>
      </c>
      <c r="Q95" s="91"/>
      <c r="R95" s="161" t="s">
        <v>844</v>
      </c>
      <c r="S95" s="124">
        <v>45891</v>
      </c>
      <c r="T95" s="156"/>
      <c r="U95" s="82"/>
    </row>
    <row r="96" ht="60" customHeight="1" spans="1:21">
      <c r="A96" s="91">
        <v>93</v>
      </c>
      <c r="B96" s="91" t="s">
        <v>494</v>
      </c>
      <c r="C96" s="91" t="s">
        <v>845</v>
      </c>
      <c r="D96" s="146" t="s">
        <v>846</v>
      </c>
      <c r="E96" s="91" t="s">
        <v>311</v>
      </c>
      <c r="F96" s="91" t="s">
        <v>98</v>
      </c>
      <c r="G96" s="91" t="s">
        <v>497</v>
      </c>
      <c r="H96" s="91" t="s">
        <v>651</v>
      </c>
      <c r="I96" s="124">
        <v>45797</v>
      </c>
      <c r="J96" s="124">
        <v>45891</v>
      </c>
      <c r="K96" s="91">
        <v>78</v>
      </c>
      <c r="L96" s="146" t="s">
        <v>847</v>
      </c>
      <c r="M96" s="91">
        <v>384</v>
      </c>
      <c r="N96" s="91">
        <v>1</v>
      </c>
      <c r="O96" s="91">
        <v>1</v>
      </c>
      <c r="P96" s="91">
        <v>0</v>
      </c>
      <c r="Q96" s="91"/>
      <c r="R96" s="161" t="s">
        <v>844</v>
      </c>
      <c r="S96" s="124">
        <v>45891</v>
      </c>
      <c r="T96" s="156"/>
      <c r="U96" s="82"/>
    </row>
    <row r="97" ht="89" customHeight="1" spans="1:21">
      <c r="A97" s="91">
        <v>94</v>
      </c>
      <c r="B97" s="91" t="s">
        <v>494</v>
      </c>
      <c r="C97" s="91" t="s">
        <v>848</v>
      </c>
      <c r="D97" s="146" t="s">
        <v>849</v>
      </c>
      <c r="E97" s="91" t="s">
        <v>701</v>
      </c>
      <c r="F97" s="91" t="s">
        <v>315</v>
      </c>
      <c r="G97" s="91" t="s">
        <v>497</v>
      </c>
      <c r="H97" s="91" t="s">
        <v>651</v>
      </c>
      <c r="I97" s="124">
        <v>45859</v>
      </c>
      <c r="J97" s="124">
        <v>45890</v>
      </c>
      <c r="K97" s="91">
        <v>22</v>
      </c>
      <c r="L97" s="105" t="s">
        <v>850</v>
      </c>
      <c r="M97" s="91">
        <v>225</v>
      </c>
      <c r="N97" s="91">
        <v>2</v>
      </c>
      <c r="O97" s="91">
        <v>2</v>
      </c>
      <c r="P97" s="91">
        <v>0</v>
      </c>
      <c r="Q97" s="91"/>
      <c r="R97" s="161" t="s">
        <v>851</v>
      </c>
      <c r="S97" s="124">
        <v>45898</v>
      </c>
      <c r="T97" s="156"/>
      <c r="U97" s="82"/>
    </row>
    <row r="98" ht="88" customHeight="1" spans="1:21">
      <c r="A98" s="91">
        <v>95</v>
      </c>
      <c r="B98" s="91" t="s">
        <v>585</v>
      </c>
      <c r="C98" s="91" t="s">
        <v>852</v>
      </c>
      <c r="D98" s="146" t="s">
        <v>853</v>
      </c>
      <c r="E98" s="91" t="s">
        <v>854</v>
      </c>
      <c r="F98" s="91" t="s">
        <v>315</v>
      </c>
      <c r="G98" s="91" t="s">
        <v>497</v>
      </c>
      <c r="H98" s="91" t="s">
        <v>687</v>
      </c>
      <c r="I98" s="124">
        <v>45863</v>
      </c>
      <c r="J98" s="124">
        <v>45897</v>
      </c>
      <c r="K98" s="9">
        <v>27</v>
      </c>
      <c r="L98" s="105" t="s">
        <v>855</v>
      </c>
      <c r="M98" s="91">
        <v>3641</v>
      </c>
      <c r="N98" s="91">
        <v>3</v>
      </c>
      <c r="O98" s="91">
        <v>3</v>
      </c>
      <c r="P98" s="91">
        <v>0</v>
      </c>
      <c r="Q98" s="9"/>
      <c r="R98" s="161" t="s">
        <v>851</v>
      </c>
      <c r="S98" s="124">
        <v>45898</v>
      </c>
      <c r="T98" s="156"/>
      <c r="U98" s="82"/>
    </row>
    <row r="99" ht="109" customHeight="1" spans="1:21">
      <c r="A99" s="91">
        <v>96</v>
      </c>
      <c r="B99" s="91" t="s">
        <v>585</v>
      </c>
      <c r="C99" s="91" t="s">
        <v>856</v>
      </c>
      <c r="D99" s="146" t="s">
        <v>857</v>
      </c>
      <c r="E99" s="91" t="s">
        <v>745</v>
      </c>
      <c r="F99" s="91" t="s">
        <v>830</v>
      </c>
      <c r="G99" s="91" t="s">
        <v>497</v>
      </c>
      <c r="H99" s="91" t="s">
        <v>698</v>
      </c>
      <c r="I99" s="124">
        <v>45868</v>
      </c>
      <c r="J99" s="124">
        <v>45897</v>
      </c>
      <c r="K99" s="9">
        <v>24</v>
      </c>
      <c r="L99" s="105" t="s">
        <v>858</v>
      </c>
      <c r="M99" s="91">
        <v>700</v>
      </c>
      <c r="N99" s="91">
        <v>3</v>
      </c>
      <c r="O99" s="91">
        <v>1</v>
      </c>
      <c r="P99" s="91">
        <v>2</v>
      </c>
      <c r="Q99" s="9"/>
      <c r="R99" s="161" t="s">
        <v>851</v>
      </c>
      <c r="S99" s="124">
        <v>45898</v>
      </c>
      <c r="T99" s="156"/>
      <c r="U99" s="82"/>
    </row>
    <row r="100" ht="176" customHeight="1" spans="1:21">
      <c r="A100" s="91">
        <v>97</v>
      </c>
      <c r="B100" s="91" t="s">
        <v>585</v>
      </c>
      <c r="C100" s="91" t="s">
        <v>859</v>
      </c>
      <c r="D100" s="146" t="s">
        <v>860</v>
      </c>
      <c r="E100" s="91" t="s">
        <v>720</v>
      </c>
      <c r="F100" s="91" t="s">
        <v>315</v>
      </c>
      <c r="G100" s="91" t="s">
        <v>497</v>
      </c>
      <c r="H100" s="91" t="s">
        <v>698</v>
      </c>
      <c r="I100" s="124">
        <v>45847</v>
      </c>
      <c r="J100" s="124">
        <v>45905</v>
      </c>
      <c r="K100" s="9">
        <v>42</v>
      </c>
      <c r="L100" s="105" t="s">
        <v>861</v>
      </c>
      <c r="M100" s="91">
        <v>63</v>
      </c>
      <c r="N100" s="91">
        <v>5</v>
      </c>
      <c r="O100" s="91">
        <v>5</v>
      </c>
      <c r="P100" s="91">
        <v>0</v>
      </c>
      <c r="Q100" s="91"/>
      <c r="R100" s="161" t="s">
        <v>862</v>
      </c>
      <c r="S100" s="124">
        <v>45905</v>
      </c>
      <c r="T100" s="156"/>
      <c r="U100" s="82"/>
    </row>
    <row r="101" ht="86" customHeight="1" spans="1:21">
      <c r="A101" s="91">
        <v>98</v>
      </c>
      <c r="B101" s="91" t="s">
        <v>585</v>
      </c>
      <c r="C101" s="91" t="s">
        <v>863</v>
      </c>
      <c r="D101" s="146" t="s">
        <v>864</v>
      </c>
      <c r="E101" s="91" t="s">
        <v>865</v>
      </c>
      <c r="F101" s="91" t="s">
        <v>98</v>
      </c>
      <c r="G101" s="91" t="s">
        <v>497</v>
      </c>
      <c r="H101" s="91" t="s">
        <v>682</v>
      </c>
      <c r="I101" s="124">
        <v>45880</v>
      </c>
      <c r="J101" s="124">
        <v>45905</v>
      </c>
      <c r="K101" s="91">
        <v>20</v>
      </c>
      <c r="L101" s="105" t="s">
        <v>866</v>
      </c>
      <c r="M101" s="91">
        <v>390</v>
      </c>
      <c r="N101" s="91">
        <v>2</v>
      </c>
      <c r="O101" s="91">
        <v>2</v>
      </c>
      <c r="P101" s="91"/>
      <c r="Q101" s="9"/>
      <c r="R101" s="161" t="s">
        <v>862</v>
      </c>
      <c r="S101" s="124">
        <v>45905</v>
      </c>
      <c r="T101" s="156"/>
      <c r="U101" s="82"/>
    </row>
    <row r="102" ht="87" customHeight="1" spans="1:21">
      <c r="A102" s="91">
        <v>99</v>
      </c>
      <c r="B102" s="91" t="s">
        <v>867</v>
      </c>
      <c r="C102" s="91" t="s">
        <v>868</v>
      </c>
      <c r="D102" s="146" t="s">
        <v>869</v>
      </c>
      <c r="E102" s="91" t="s">
        <v>870</v>
      </c>
      <c r="F102" s="91" t="s">
        <v>871</v>
      </c>
      <c r="G102" s="91" t="s">
        <v>497</v>
      </c>
      <c r="H102" s="91" t="s">
        <v>682</v>
      </c>
      <c r="I102" s="124">
        <v>45892</v>
      </c>
      <c r="J102" s="124">
        <v>45912</v>
      </c>
      <c r="K102" s="91">
        <v>19</v>
      </c>
      <c r="L102" s="105" t="s">
        <v>872</v>
      </c>
      <c r="M102" s="91">
        <v>2067</v>
      </c>
      <c r="N102" s="91">
        <v>2</v>
      </c>
      <c r="O102" s="91">
        <v>2</v>
      </c>
      <c r="P102" s="91">
        <v>0</v>
      </c>
      <c r="Q102" s="91"/>
      <c r="R102" s="161" t="s">
        <v>873</v>
      </c>
      <c r="S102" s="124">
        <v>45912</v>
      </c>
      <c r="T102" s="156"/>
      <c r="U102" s="82"/>
    </row>
    <row r="103" ht="88" customHeight="1" spans="1:21">
      <c r="A103" s="91">
        <v>100</v>
      </c>
      <c r="B103" s="91" t="s">
        <v>727</v>
      </c>
      <c r="C103" s="91" t="s">
        <v>821</v>
      </c>
      <c r="D103" s="146" t="s">
        <v>874</v>
      </c>
      <c r="E103" s="91" t="s">
        <v>727</v>
      </c>
      <c r="F103" s="91" t="s">
        <v>315</v>
      </c>
      <c r="G103" s="91" t="s">
        <v>497</v>
      </c>
      <c r="H103" s="91" t="s">
        <v>658</v>
      </c>
      <c r="I103" s="124">
        <v>45876</v>
      </c>
      <c r="J103" s="124">
        <v>45912</v>
      </c>
      <c r="K103" s="91">
        <v>31</v>
      </c>
      <c r="L103" s="105" t="s">
        <v>875</v>
      </c>
      <c r="M103" s="91">
        <v>45</v>
      </c>
      <c r="N103" s="91">
        <v>2</v>
      </c>
      <c r="O103" s="91">
        <v>1</v>
      </c>
      <c r="P103" s="91">
        <v>1</v>
      </c>
      <c r="Q103" s="91"/>
      <c r="R103" s="161" t="s">
        <v>873</v>
      </c>
      <c r="S103" s="124">
        <v>45912</v>
      </c>
      <c r="T103" s="156"/>
      <c r="U103" s="147" t="s">
        <v>876</v>
      </c>
    </row>
    <row r="104" ht="96" customHeight="1" spans="1:21">
      <c r="A104" s="91">
        <v>101</v>
      </c>
      <c r="B104" s="91" t="s">
        <v>93</v>
      </c>
      <c r="C104" s="91" t="s">
        <v>877</v>
      </c>
      <c r="D104" s="146" t="s">
        <v>878</v>
      </c>
      <c r="E104" s="91" t="s">
        <v>93</v>
      </c>
      <c r="F104" s="146" t="s">
        <v>315</v>
      </c>
      <c r="G104" s="91" t="s">
        <v>497</v>
      </c>
      <c r="H104" s="91" t="s">
        <v>651</v>
      </c>
      <c r="I104" s="124">
        <v>45875</v>
      </c>
      <c r="J104" s="124">
        <v>45912</v>
      </c>
      <c r="K104" s="91">
        <v>32</v>
      </c>
      <c r="L104" s="105" t="s">
        <v>879</v>
      </c>
      <c r="M104" s="91">
        <v>1666</v>
      </c>
      <c r="N104" s="91">
        <v>5</v>
      </c>
      <c r="O104" s="91">
        <v>4</v>
      </c>
      <c r="P104" s="91">
        <v>1</v>
      </c>
      <c r="Q104" s="91"/>
      <c r="R104" s="161" t="s">
        <v>873</v>
      </c>
      <c r="S104" s="124">
        <v>45912</v>
      </c>
      <c r="T104" s="156"/>
      <c r="U104" s="147" t="s">
        <v>880</v>
      </c>
    </row>
    <row r="105" ht="102" customHeight="1" spans="1:21">
      <c r="A105" s="91">
        <v>102</v>
      </c>
      <c r="B105" s="91" t="s">
        <v>867</v>
      </c>
      <c r="C105" s="91" t="s">
        <v>881</v>
      </c>
      <c r="D105" s="146" t="s">
        <v>882</v>
      </c>
      <c r="E105" s="91" t="s">
        <v>720</v>
      </c>
      <c r="F105" s="91" t="s">
        <v>871</v>
      </c>
      <c r="G105" s="91" t="s">
        <v>497</v>
      </c>
      <c r="H105" s="91" t="s">
        <v>682</v>
      </c>
      <c r="I105" s="124">
        <v>45897</v>
      </c>
      <c r="J105" s="124">
        <v>45918</v>
      </c>
      <c r="K105" s="91">
        <v>20</v>
      </c>
      <c r="L105" s="105" t="s">
        <v>883</v>
      </c>
      <c r="M105" s="91">
        <v>3090</v>
      </c>
      <c r="N105" s="91">
        <v>0</v>
      </c>
      <c r="O105" s="91">
        <v>0</v>
      </c>
      <c r="P105" s="91">
        <v>0</v>
      </c>
      <c r="Q105" s="91"/>
      <c r="R105" s="161" t="s">
        <v>884</v>
      </c>
      <c r="S105" s="124">
        <v>45919</v>
      </c>
      <c r="T105" s="156"/>
      <c r="U105" s="82"/>
    </row>
    <row r="106" ht="105" customHeight="1" spans="1:21">
      <c r="A106" s="91">
        <v>103</v>
      </c>
      <c r="B106" s="91" t="s">
        <v>867</v>
      </c>
      <c r="C106" s="91" t="s">
        <v>885</v>
      </c>
      <c r="D106" s="146" t="s">
        <v>886</v>
      </c>
      <c r="E106" s="91" t="s">
        <v>20</v>
      </c>
      <c r="F106" s="91" t="s">
        <v>830</v>
      </c>
      <c r="G106" s="91" t="s">
        <v>497</v>
      </c>
      <c r="H106" s="91" t="s">
        <v>651</v>
      </c>
      <c r="I106" s="124">
        <v>45869</v>
      </c>
      <c r="J106" s="124">
        <v>45917</v>
      </c>
      <c r="K106" s="91">
        <v>37</v>
      </c>
      <c r="L106" s="105" t="s">
        <v>887</v>
      </c>
      <c r="M106" s="91">
        <v>371</v>
      </c>
      <c r="N106" s="91">
        <v>6</v>
      </c>
      <c r="O106" s="91">
        <v>6</v>
      </c>
      <c r="P106" s="91">
        <v>0</v>
      </c>
      <c r="Q106" s="91"/>
      <c r="R106" s="161" t="s">
        <v>884</v>
      </c>
      <c r="S106" s="124">
        <v>45919</v>
      </c>
      <c r="T106" s="156"/>
      <c r="U106" s="82"/>
    </row>
    <row r="107" ht="119" customHeight="1" spans="1:21">
      <c r="A107" s="91">
        <v>104</v>
      </c>
      <c r="B107" s="91" t="s">
        <v>727</v>
      </c>
      <c r="C107" s="91" t="s">
        <v>888</v>
      </c>
      <c r="D107" s="146" t="s">
        <v>889</v>
      </c>
      <c r="E107" s="91" t="s">
        <v>727</v>
      </c>
      <c r="F107" s="91" t="s">
        <v>890</v>
      </c>
      <c r="G107" s="91" t="s">
        <v>497</v>
      </c>
      <c r="H107" s="91" t="s">
        <v>687</v>
      </c>
      <c r="I107" s="124">
        <v>45892</v>
      </c>
      <c r="J107" s="124">
        <v>45925</v>
      </c>
      <c r="K107" s="91">
        <v>32</v>
      </c>
      <c r="L107" s="105" t="s">
        <v>891</v>
      </c>
      <c r="M107" s="91">
        <v>1131</v>
      </c>
      <c r="N107" s="91">
        <v>3</v>
      </c>
      <c r="O107" s="91">
        <v>3</v>
      </c>
      <c r="P107" s="91">
        <v>0</v>
      </c>
      <c r="Q107" s="91"/>
      <c r="R107" s="161" t="s">
        <v>892</v>
      </c>
      <c r="S107" s="124">
        <v>45926</v>
      </c>
      <c r="T107" s="156"/>
      <c r="U107" s="82"/>
    </row>
    <row r="108" ht="95" customHeight="1" spans="1:21">
      <c r="A108" s="91">
        <v>105</v>
      </c>
      <c r="B108" s="91" t="s">
        <v>867</v>
      </c>
      <c r="C108" s="91" t="s">
        <v>893</v>
      </c>
      <c r="D108" s="146" t="s">
        <v>894</v>
      </c>
      <c r="E108" s="91" t="s">
        <v>720</v>
      </c>
      <c r="F108" s="91" t="s">
        <v>315</v>
      </c>
      <c r="G108" s="91" t="s">
        <v>497</v>
      </c>
      <c r="H108" s="91" t="s">
        <v>651</v>
      </c>
      <c r="I108" s="124">
        <v>45891</v>
      </c>
      <c r="J108" s="124">
        <v>45946</v>
      </c>
      <c r="K108" s="91">
        <v>46</v>
      </c>
      <c r="L108" s="105" t="s">
        <v>895</v>
      </c>
      <c r="M108" s="91">
        <v>2991</v>
      </c>
      <c r="N108" s="91">
        <v>2</v>
      </c>
      <c r="O108" s="91">
        <v>2</v>
      </c>
      <c r="P108" s="91">
        <v>0</v>
      </c>
      <c r="Q108" s="91"/>
      <c r="R108" s="161" t="s">
        <v>896</v>
      </c>
      <c r="S108" s="124">
        <v>45947</v>
      </c>
      <c r="T108" s="156"/>
      <c r="U108" s="82"/>
    </row>
    <row r="109" ht="73" customHeight="1" spans="1:21">
      <c r="A109" s="91">
        <v>106</v>
      </c>
      <c r="B109" s="91" t="s">
        <v>93</v>
      </c>
      <c r="C109" s="91" t="s">
        <v>897</v>
      </c>
      <c r="D109" s="146" t="s">
        <v>898</v>
      </c>
      <c r="E109" s="91" t="s">
        <v>311</v>
      </c>
      <c r="F109" s="91" t="s">
        <v>830</v>
      </c>
      <c r="G109" s="91" t="s">
        <v>497</v>
      </c>
      <c r="H109" s="91" t="s">
        <v>682</v>
      </c>
      <c r="I109" s="124">
        <v>45919</v>
      </c>
      <c r="J109" s="124">
        <v>45946</v>
      </c>
      <c r="K109" s="91">
        <v>16</v>
      </c>
      <c r="L109" s="105" t="s">
        <v>899</v>
      </c>
      <c r="M109" s="91">
        <v>43885</v>
      </c>
      <c r="N109" s="91">
        <v>0</v>
      </c>
      <c r="O109" s="91">
        <v>0</v>
      </c>
      <c r="P109" s="91">
        <v>0</v>
      </c>
      <c r="Q109" s="91"/>
      <c r="R109" s="161" t="s">
        <v>896</v>
      </c>
      <c r="S109" s="124">
        <v>45947</v>
      </c>
      <c r="T109" s="156"/>
      <c r="U109" s="82"/>
    </row>
    <row r="110" ht="69" customHeight="1" spans="1:21">
      <c r="A110" s="91">
        <v>107</v>
      </c>
      <c r="B110" s="91" t="s">
        <v>93</v>
      </c>
      <c r="C110" s="91" t="s">
        <v>900</v>
      </c>
      <c r="D110" s="146" t="s">
        <v>901</v>
      </c>
      <c r="E110" s="91" t="s">
        <v>311</v>
      </c>
      <c r="F110" s="91" t="s">
        <v>830</v>
      </c>
      <c r="G110" s="91" t="s">
        <v>497</v>
      </c>
      <c r="H110" s="91" t="s">
        <v>698</v>
      </c>
      <c r="I110" s="124">
        <v>45919</v>
      </c>
      <c r="J110" s="124">
        <v>45946</v>
      </c>
      <c r="K110" s="91">
        <v>16</v>
      </c>
      <c r="L110" s="105" t="s">
        <v>899</v>
      </c>
      <c r="M110" s="91">
        <v>43647</v>
      </c>
      <c r="N110" s="91">
        <v>0</v>
      </c>
      <c r="O110" s="91">
        <v>0</v>
      </c>
      <c r="P110" s="91">
        <v>0</v>
      </c>
      <c r="Q110" s="91"/>
      <c r="R110" s="161" t="s">
        <v>896</v>
      </c>
      <c r="S110" s="124">
        <v>45947</v>
      </c>
      <c r="T110" s="156"/>
      <c r="U110" s="82"/>
    </row>
    <row r="111" ht="93" customHeight="1" spans="1:21">
      <c r="A111" s="91">
        <v>108</v>
      </c>
      <c r="B111" s="91" t="s">
        <v>867</v>
      </c>
      <c r="C111" s="91" t="s">
        <v>902</v>
      </c>
      <c r="D111" s="146" t="s">
        <v>903</v>
      </c>
      <c r="E111" s="91" t="s">
        <v>20</v>
      </c>
      <c r="F111" s="91" t="s">
        <v>830</v>
      </c>
      <c r="G111" s="91" t="s">
        <v>497</v>
      </c>
      <c r="H111" s="91" t="s">
        <v>658</v>
      </c>
      <c r="I111" s="124">
        <v>45913</v>
      </c>
      <c r="J111" s="124">
        <v>45946</v>
      </c>
      <c r="K111" s="91">
        <v>22</v>
      </c>
      <c r="L111" s="105" t="s">
        <v>904</v>
      </c>
      <c r="M111" s="91">
        <v>98</v>
      </c>
      <c r="N111" s="91">
        <v>2</v>
      </c>
      <c r="O111" s="91">
        <v>2</v>
      </c>
      <c r="P111" s="91">
        <v>0</v>
      </c>
      <c r="Q111" s="91"/>
      <c r="R111" s="161" t="s">
        <v>896</v>
      </c>
      <c r="S111" s="124">
        <v>45947</v>
      </c>
      <c r="T111" s="156"/>
      <c r="U111" s="82"/>
    </row>
    <row r="112" ht="125" customHeight="1" spans="1:21">
      <c r="A112" s="91">
        <v>109</v>
      </c>
      <c r="B112" s="91" t="s">
        <v>93</v>
      </c>
      <c r="C112" s="91" t="s">
        <v>905</v>
      </c>
      <c r="D112" s="99" t="s">
        <v>906</v>
      </c>
      <c r="E112" s="91" t="s">
        <v>93</v>
      </c>
      <c r="F112" s="91" t="s">
        <v>98</v>
      </c>
      <c r="G112" s="91" t="s">
        <v>497</v>
      </c>
      <c r="H112" s="91" t="s">
        <v>682</v>
      </c>
      <c r="I112" s="124">
        <v>45925</v>
      </c>
      <c r="J112" s="124">
        <v>45946</v>
      </c>
      <c r="K112" s="91">
        <v>13</v>
      </c>
      <c r="L112" s="105" t="s">
        <v>907</v>
      </c>
      <c r="M112" s="91">
        <v>150</v>
      </c>
      <c r="N112" s="91">
        <v>4</v>
      </c>
      <c r="O112" s="91">
        <v>4</v>
      </c>
      <c r="P112" s="91">
        <v>0</v>
      </c>
      <c r="Q112" s="91"/>
      <c r="R112" s="161" t="s">
        <v>896</v>
      </c>
      <c r="S112" s="124">
        <v>45947</v>
      </c>
      <c r="T112" s="156"/>
      <c r="U112" s="82"/>
    </row>
    <row r="113" ht="130" customHeight="1" spans="1:25">
      <c r="A113" s="91">
        <v>110</v>
      </c>
      <c r="B113" s="91" t="s">
        <v>867</v>
      </c>
      <c r="C113" s="91" t="s">
        <v>908</v>
      </c>
      <c r="D113" s="146" t="s">
        <v>909</v>
      </c>
      <c r="E113" s="91" t="s">
        <v>910</v>
      </c>
      <c r="F113" s="91" t="s">
        <v>315</v>
      </c>
      <c r="G113" s="91" t="s">
        <v>497</v>
      </c>
      <c r="H113" s="91" t="s">
        <v>687</v>
      </c>
      <c r="I113" s="124">
        <v>45875</v>
      </c>
      <c r="J113" s="124">
        <v>45967</v>
      </c>
      <c r="K113" s="91">
        <v>60</v>
      </c>
      <c r="L113" s="105" t="s">
        <v>911</v>
      </c>
      <c r="M113" s="91">
        <v>2240</v>
      </c>
      <c r="N113" s="91">
        <v>6</v>
      </c>
      <c r="O113" s="91">
        <v>6</v>
      </c>
      <c r="P113" s="91">
        <v>0</v>
      </c>
      <c r="Q113" s="91"/>
      <c r="R113" s="161" t="s">
        <v>912</v>
      </c>
      <c r="S113" s="48">
        <v>45968</v>
      </c>
      <c r="T113" s="173"/>
      <c r="U113" s="82" t="s">
        <v>913</v>
      </c>
    </row>
    <row r="114" ht="94" customHeight="1" spans="1:25">
      <c r="A114" s="91">
        <v>111</v>
      </c>
      <c r="B114" s="91" t="s">
        <v>93</v>
      </c>
      <c r="C114" s="91" t="s">
        <v>914</v>
      </c>
      <c r="D114" s="146" t="s">
        <v>915</v>
      </c>
      <c r="E114" s="91" t="s">
        <v>93</v>
      </c>
      <c r="F114" s="91" t="s">
        <v>315</v>
      </c>
      <c r="G114" s="91" t="s">
        <v>497</v>
      </c>
      <c r="H114" s="91" t="s">
        <v>646</v>
      </c>
      <c r="I114" s="124">
        <v>45885</v>
      </c>
      <c r="J114" s="124">
        <v>45936</v>
      </c>
      <c r="K114" s="97">
        <f>((J114-I114)+1)-ROUNDDOWN((J114-I114)/7,0)*2</f>
        <v>38</v>
      </c>
      <c r="L114" s="105" t="s">
        <v>916</v>
      </c>
      <c r="M114" s="91">
        <v>8210</v>
      </c>
      <c r="N114" s="91">
        <v>4</v>
      </c>
      <c r="O114" s="91">
        <v>4</v>
      </c>
      <c r="P114" s="91">
        <v>0</v>
      </c>
      <c r="Q114" s="91"/>
      <c r="R114" s="161" t="s">
        <v>912</v>
      </c>
      <c r="S114" s="48">
        <v>45968</v>
      </c>
      <c r="T114" s="173"/>
      <c r="U114" s="82"/>
    </row>
    <row r="115" ht="90" customHeight="1" spans="1:25">
      <c r="A115" s="91">
        <v>112</v>
      </c>
      <c r="B115" s="91" t="s">
        <v>93</v>
      </c>
      <c r="C115" s="91" t="s">
        <v>917</v>
      </c>
      <c r="D115" s="146" t="s">
        <v>918</v>
      </c>
      <c r="E115" s="91" t="s">
        <v>124</v>
      </c>
      <c r="F115" s="91" t="s">
        <v>890</v>
      </c>
      <c r="G115" s="91" t="s">
        <v>497</v>
      </c>
      <c r="H115" s="91" t="s">
        <v>646</v>
      </c>
      <c r="I115" s="124">
        <v>45947</v>
      </c>
      <c r="J115" s="124">
        <v>45982</v>
      </c>
      <c r="K115" s="97">
        <f>((J115-I115)+1)-ROUNDDOWN((J115-I115)/7,0)*2</f>
        <v>26</v>
      </c>
      <c r="L115" s="105" t="s">
        <v>919</v>
      </c>
      <c r="M115" s="91" t="s">
        <v>920</v>
      </c>
      <c r="N115" s="91">
        <v>2</v>
      </c>
      <c r="O115" s="91">
        <v>2</v>
      </c>
      <c r="P115" s="91">
        <v>0</v>
      </c>
      <c r="Q115" s="91"/>
      <c r="R115" s="161" t="s">
        <v>921</v>
      </c>
      <c r="S115" s="48">
        <v>45982</v>
      </c>
      <c r="T115" s="173"/>
      <c r="U115" s="82"/>
    </row>
    <row r="116" ht="68" customHeight="1" spans="1:25">
      <c r="A116" s="91">
        <v>113</v>
      </c>
      <c r="B116" s="91" t="s">
        <v>93</v>
      </c>
      <c r="C116" s="91" t="s">
        <v>922</v>
      </c>
      <c r="D116" s="146" t="s">
        <v>923</v>
      </c>
      <c r="E116" s="91" t="s">
        <v>311</v>
      </c>
      <c r="F116" s="91" t="s">
        <v>315</v>
      </c>
      <c r="G116" s="91" t="s">
        <v>497</v>
      </c>
      <c r="H116" s="91" t="s">
        <v>651</v>
      </c>
      <c r="I116" s="124">
        <v>45838</v>
      </c>
      <c r="J116" s="124">
        <v>46044</v>
      </c>
      <c r="K116" s="91">
        <v>60</v>
      </c>
      <c r="L116" s="105" t="s">
        <v>924</v>
      </c>
      <c r="M116" s="91" t="s">
        <v>925</v>
      </c>
      <c r="N116" s="91">
        <v>3</v>
      </c>
      <c r="O116" s="91">
        <v>2</v>
      </c>
      <c r="P116" s="91">
        <v>1</v>
      </c>
      <c r="Q116" s="91"/>
      <c r="R116" s="161" t="s">
        <v>926</v>
      </c>
      <c r="S116" s="48">
        <v>46045</v>
      </c>
      <c r="T116" s="173"/>
      <c r="U116" s="82" t="s">
        <v>927</v>
      </c>
    </row>
    <row r="117" ht="97" customHeight="1" spans="1:25">
      <c r="A117" s="91">
        <v>114</v>
      </c>
      <c r="B117" s="91" t="s">
        <v>93</v>
      </c>
      <c r="C117" s="91" t="s">
        <v>928</v>
      </c>
      <c r="D117" s="146" t="s">
        <v>929</v>
      </c>
      <c r="E117" s="91" t="s">
        <v>311</v>
      </c>
      <c r="F117" s="91" t="s">
        <v>315</v>
      </c>
      <c r="G117" s="91" t="s">
        <v>497</v>
      </c>
      <c r="H117" s="91" t="s">
        <v>651</v>
      </c>
      <c r="I117" s="124">
        <v>45838</v>
      </c>
      <c r="J117" s="124">
        <v>46044</v>
      </c>
      <c r="K117" s="91">
        <v>60</v>
      </c>
      <c r="L117" s="105" t="s">
        <v>930</v>
      </c>
      <c r="M117" s="91" t="s">
        <v>931</v>
      </c>
      <c r="N117" s="91">
        <v>2</v>
      </c>
      <c r="O117" s="91">
        <v>1</v>
      </c>
      <c r="P117" s="91">
        <v>1</v>
      </c>
      <c r="Q117" s="91"/>
      <c r="R117" s="161" t="s">
        <v>932</v>
      </c>
      <c r="S117" s="48">
        <v>46045</v>
      </c>
      <c r="T117" s="173"/>
      <c r="U117" s="82"/>
      <c r="V117" s="81" t="s">
        <v>933</v>
      </c>
    </row>
    <row r="118" ht="83" customHeight="1" spans="1:25">
      <c r="A118" s="146">
        <v>115</v>
      </c>
      <c r="B118" s="91" t="s">
        <v>93</v>
      </c>
      <c r="C118" s="91" t="s">
        <v>934</v>
      </c>
      <c r="D118" s="146" t="s">
        <v>935</v>
      </c>
      <c r="E118" s="91" t="s">
        <v>701</v>
      </c>
      <c r="F118" s="91" t="s">
        <v>830</v>
      </c>
      <c r="G118" s="91" t="s">
        <v>497</v>
      </c>
      <c r="H118" s="99" t="s">
        <v>936</v>
      </c>
      <c r="I118" s="124">
        <v>46038</v>
      </c>
      <c r="J118" s="124">
        <v>46052</v>
      </c>
      <c r="K118" s="91">
        <v>12</v>
      </c>
      <c r="L118" s="105" t="s">
        <v>937</v>
      </c>
      <c r="M118" s="91">
        <v>959</v>
      </c>
      <c r="N118" s="91">
        <v>4</v>
      </c>
      <c r="O118" s="91">
        <v>4</v>
      </c>
      <c r="P118" s="91">
        <v>0</v>
      </c>
      <c r="Q118" s="91"/>
      <c r="R118" s="161" t="s">
        <v>938</v>
      </c>
      <c r="S118" s="124">
        <v>46052</v>
      </c>
      <c r="T118" s="156"/>
      <c r="U118" s="91"/>
      <c r="V118" s="81" t="s">
        <v>933</v>
      </c>
    </row>
    <row r="119" ht="79" customHeight="1" spans="1:25">
      <c r="A119" s="146">
        <v>116</v>
      </c>
      <c r="B119" s="91" t="s">
        <v>93</v>
      </c>
      <c r="C119" s="91" t="s">
        <v>939</v>
      </c>
      <c r="D119" s="146" t="s">
        <v>940</v>
      </c>
      <c r="E119" s="91" t="s">
        <v>93</v>
      </c>
      <c r="F119" s="91" t="s">
        <v>830</v>
      </c>
      <c r="G119" s="91" t="s">
        <v>497</v>
      </c>
      <c r="H119" s="91" t="s">
        <v>698</v>
      </c>
      <c r="I119" s="124">
        <v>46039</v>
      </c>
      <c r="J119" s="124">
        <v>46052</v>
      </c>
      <c r="K119" s="91">
        <v>11</v>
      </c>
      <c r="L119" s="105" t="s">
        <v>941</v>
      </c>
      <c r="M119" s="91">
        <v>1013</v>
      </c>
      <c r="N119" s="91">
        <v>0</v>
      </c>
      <c r="O119" s="91">
        <v>0</v>
      </c>
      <c r="P119" s="91">
        <v>0</v>
      </c>
      <c r="Q119" s="91"/>
      <c r="R119" s="161" t="s">
        <v>938</v>
      </c>
      <c r="S119" s="124">
        <v>46052</v>
      </c>
      <c r="T119" s="156"/>
      <c r="U119" s="91"/>
      <c r="V119" s="81" t="s">
        <v>942</v>
      </c>
      <c r="Y119" s="82"/>
    </row>
    <row r="120" ht="96" customHeight="1" spans="1:25">
      <c r="A120" s="146">
        <v>117</v>
      </c>
      <c r="B120" s="91" t="s">
        <v>93</v>
      </c>
      <c r="C120" s="91" t="s">
        <v>943</v>
      </c>
      <c r="D120" s="146" t="s">
        <v>944</v>
      </c>
      <c r="E120" s="91" t="s">
        <v>93</v>
      </c>
      <c r="F120" s="91" t="s">
        <v>830</v>
      </c>
      <c r="G120" s="91" t="s">
        <v>497</v>
      </c>
      <c r="H120" s="91" t="s">
        <v>687</v>
      </c>
      <c r="I120" s="124">
        <v>46034</v>
      </c>
      <c r="J120" s="124">
        <v>46052</v>
      </c>
      <c r="K120" s="91">
        <v>15</v>
      </c>
      <c r="L120" s="105" t="s">
        <v>945</v>
      </c>
      <c r="M120" s="91">
        <v>6900</v>
      </c>
      <c r="N120" s="91">
        <v>2</v>
      </c>
      <c r="O120" s="91">
        <v>2</v>
      </c>
      <c r="P120" s="91">
        <v>0</v>
      </c>
      <c r="Q120" s="91"/>
      <c r="R120" s="161" t="s">
        <v>938</v>
      </c>
      <c r="S120" s="124">
        <v>46052</v>
      </c>
      <c r="T120" s="156"/>
      <c r="U120" s="91"/>
      <c r="V120" s="81" t="s">
        <v>933</v>
      </c>
    </row>
    <row r="121" ht="92" customHeight="1" spans="1:25">
      <c r="A121" s="146">
        <v>118</v>
      </c>
      <c r="B121" s="91" t="s">
        <v>93</v>
      </c>
      <c r="C121" s="91" t="s">
        <v>946</v>
      </c>
      <c r="D121" s="146" t="s">
        <v>947</v>
      </c>
      <c r="E121" s="91" t="s">
        <v>701</v>
      </c>
      <c r="F121" s="91" t="s">
        <v>830</v>
      </c>
      <c r="G121" s="91" t="s">
        <v>497</v>
      </c>
      <c r="H121" s="91" t="s">
        <v>698</v>
      </c>
      <c r="I121" s="124">
        <v>46039</v>
      </c>
      <c r="J121" s="124">
        <v>46052</v>
      </c>
      <c r="K121" s="91">
        <v>11</v>
      </c>
      <c r="L121" s="105" t="s">
        <v>948</v>
      </c>
      <c r="M121" s="91">
        <v>1227</v>
      </c>
      <c r="N121" s="91">
        <v>1</v>
      </c>
      <c r="O121" s="91">
        <v>1</v>
      </c>
      <c r="P121" s="91">
        <v>0</v>
      </c>
      <c r="Q121" s="91"/>
      <c r="R121" s="161" t="s">
        <v>938</v>
      </c>
      <c r="S121" s="124">
        <v>46052</v>
      </c>
      <c r="T121" s="156"/>
      <c r="U121" s="91"/>
      <c r="V121" s="81" t="s">
        <v>933</v>
      </c>
    </row>
    <row r="122" ht="112" customHeight="1" spans="1:25">
      <c r="A122" s="146">
        <v>119</v>
      </c>
      <c r="B122" s="91" t="s">
        <v>867</v>
      </c>
      <c r="C122" s="91" t="s">
        <v>949</v>
      </c>
      <c r="D122" s="146" t="s">
        <v>950</v>
      </c>
      <c r="E122" s="91" t="s">
        <v>20</v>
      </c>
      <c r="F122" s="91" t="s">
        <v>951</v>
      </c>
      <c r="G122" s="91" t="s">
        <v>497</v>
      </c>
      <c r="H122" s="99" t="s">
        <v>952</v>
      </c>
      <c r="I122" s="124">
        <v>46016</v>
      </c>
      <c r="J122" s="124">
        <v>46059</v>
      </c>
      <c r="K122" s="91">
        <v>30</v>
      </c>
      <c r="L122" s="105" t="s">
        <v>953</v>
      </c>
      <c r="M122" s="91"/>
      <c r="N122" s="91">
        <v>3</v>
      </c>
      <c r="O122" s="91">
        <v>3</v>
      </c>
      <c r="P122" s="91">
        <v>0</v>
      </c>
      <c r="Q122" s="91"/>
      <c r="R122" s="161" t="s">
        <v>954</v>
      </c>
      <c r="S122" s="124">
        <v>46052</v>
      </c>
      <c r="T122" s="156"/>
      <c r="U122" s="91"/>
      <c r="W122" s="174" t="s">
        <v>955</v>
      </c>
    </row>
    <row r="123" ht="108" customHeight="1" spans="1:25">
      <c r="A123" s="91">
        <v>120</v>
      </c>
      <c r="B123" s="91" t="s">
        <v>93</v>
      </c>
      <c r="C123" s="91" t="s">
        <v>956</v>
      </c>
      <c r="D123" s="105" t="s">
        <v>957</v>
      </c>
      <c r="E123" s="91" t="s">
        <v>701</v>
      </c>
      <c r="F123" s="91" t="s">
        <v>830</v>
      </c>
      <c r="G123" s="91" t="s">
        <v>497</v>
      </c>
      <c r="H123" s="91" t="s">
        <v>658</v>
      </c>
      <c r="I123" s="124">
        <v>46055</v>
      </c>
      <c r="J123" s="124">
        <v>46080</v>
      </c>
      <c r="K123" s="91">
        <v>11</v>
      </c>
      <c r="L123" s="105" t="s">
        <v>958</v>
      </c>
      <c r="M123" s="91">
        <v>5340</v>
      </c>
      <c r="N123" s="91">
        <v>2</v>
      </c>
      <c r="O123" s="91">
        <v>2</v>
      </c>
      <c r="P123" s="91">
        <v>0</v>
      </c>
      <c r="Q123" s="91"/>
      <c r="R123" s="161" t="s">
        <v>959</v>
      </c>
      <c r="S123" s="124">
        <v>46080</v>
      </c>
      <c r="T123" s="156"/>
      <c r="U123" s="147" t="s">
        <v>960</v>
      </c>
      <c r="W123" s="174"/>
    </row>
    <row r="124" ht="125" customHeight="1" spans="1:25">
      <c r="A124" s="91">
        <v>121</v>
      </c>
      <c r="B124" s="91" t="s">
        <v>867</v>
      </c>
      <c r="C124" s="91" t="s">
        <v>833</v>
      </c>
      <c r="D124" s="146" t="s">
        <v>961</v>
      </c>
      <c r="E124" s="91" t="s">
        <v>867</v>
      </c>
      <c r="F124" s="91" t="s">
        <v>315</v>
      </c>
      <c r="G124" s="91" t="s">
        <v>497</v>
      </c>
      <c r="H124" s="91" t="s">
        <v>658</v>
      </c>
      <c r="I124" s="124">
        <v>46057</v>
      </c>
      <c r="J124" s="124">
        <v>46101</v>
      </c>
      <c r="K124" s="91">
        <v>20</v>
      </c>
      <c r="L124" s="105" t="s">
        <v>962</v>
      </c>
      <c r="M124" s="91">
        <v>728</v>
      </c>
      <c r="N124" s="91">
        <v>1</v>
      </c>
      <c r="O124" s="91">
        <v>0</v>
      </c>
      <c r="P124" s="91">
        <v>1</v>
      </c>
      <c r="Q124" s="91"/>
      <c r="R124" s="161" t="s">
        <v>963</v>
      </c>
      <c r="S124" s="124">
        <v>46102</v>
      </c>
      <c r="T124" s="156" t="s">
        <v>964</v>
      </c>
      <c r="U124" s="82"/>
      <c r="W124" s="174" t="s">
        <v>955</v>
      </c>
    </row>
    <row r="125" ht="88" customHeight="1" spans="1:25">
      <c r="A125" s="91">
        <v>122</v>
      </c>
      <c r="B125" s="91" t="s">
        <v>93</v>
      </c>
      <c r="C125" s="91" t="s">
        <v>965</v>
      </c>
      <c r="D125" s="146" t="s">
        <v>966</v>
      </c>
      <c r="E125" s="91" t="s">
        <v>311</v>
      </c>
      <c r="F125" s="91" t="s">
        <v>315</v>
      </c>
      <c r="G125" s="91" t="s">
        <v>497</v>
      </c>
      <c r="H125" s="99" t="s">
        <v>967</v>
      </c>
      <c r="I125" s="124">
        <v>46041</v>
      </c>
      <c r="J125" s="124">
        <v>46100</v>
      </c>
      <c r="K125" s="91">
        <v>39</v>
      </c>
      <c r="L125" s="105" t="s">
        <v>968</v>
      </c>
      <c r="M125" s="91">
        <v>1430</v>
      </c>
      <c r="N125" s="91">
        <v>2</v>
      </c>
      <c r="O125" s="91">
        <v>2</v>
      </c>
      <c r="P125" s="91">
        <v>0</v>
      </c>
      <c r="Q125" s="91"/>
      <c r="R125" s="161" t="s">
        <v>963</v>
      </c>
      <c r="S125" s="124">
        <v>46102</v>
      </c>
      <c r="T125" s="175">
        <v>21</v>
      </c>
      <c r="U125" s="82"/>
      <c r="W125" s="174"/>
    </row>
    <row r="126" ht="101" customHeight="1" spans="1:25">
      <c r="A126" s="91">
        <v>123</v>
      </c>
      <c r="B126" s="91" t="s">
        <v>93</v>
      </c>
      <c r="C126" s="91" t="s">
        <v>969</v>
      </c>
      <c r="D126" s="146" t="s">
        <v>970</v>
      </c>
      <c r="E126" s="91" t="s">
        <v>311</v>
      </c>
      <c r="F126" s="91" t="s">
        <v>315</v>
      </c>
      <c r="G126" s="91" t="s">
        <v>497</v>
      </c>
      <c r="H126" s="91" t="s">
        <v>646</v>
      </c>
      <c r="I126" s="124">
        <v>46093</v>
      </c>
      <c r="J126" s="124">
        <v>46101</v>
      </c>
      <c r="K126" s="91">
        <v>7</v>
      </c>
      <c r="L126" s="105" t="s">
        <v>971</v>
      </c>
      <c r="M126" s="91">
        <v>7809</v>
      </c>
      <c r="N126" s="91">
        <v>1</v>
      </c>
      <c r="O126" s="91">
        <v>0</v>
      </c>
      <c r="P126" s="91">
        <v>1</v>
      </c>
      <c r="Q126" s="9"/>
      <c r="R126" s="161" t="s">
        <v>963</v>
      </c>
      <c r="S126" s="124">
        <v>46102</v>
      </c>
      <c r="T126" s="175">
        <v>13.6</v>
      </c>
      <c r="U126" s="82"/>
      <c r="W126" s="174" t="s">
        <v>955</v>
      </c>
    </row>
    <row r="127" ht="34.8" spans="1:25">
      <c r="A127" s="91">
        <v>124</v>
      </c>
      <c r="B127" s="91" t="s">
        <v>93</v>
      </c>
      <c r="C127" s="91" t="s">
        <v>972</v>
      </c>
      <c r="D127" s="146" t="s">
        <v>973</v>
      </c>
      <c r="E127" s="91" t="s">
        <v>701</v>
      </c>
      <c r="F127" s="91" t="s">
        <v>890</v>
      </c>
      <c r="G127" s="91" t="s">
        <v>497</v>
      </c>
      <c r="H127" s="91" t="s">
        <v>687</v>
      </c>
      <c r="I127" s="124">
        <v>46101</v>
      </c>
      <c r="J127" s="124">
        <v>46108</v>
      </c>
      <c r="K127" s="91">
        <v>7</v>
      </c>
      <c r="L127" s="105" t="s">
        <v>974</v>
      </c>
      <c r="M127" s="91">
        <v>1890</v>
      </c>
      <c r="N127" s="91">
        <v>1</v>
      </c>
      <c r="O127" s="91">
        <v>1</v>
      </c>
      <c r="P127" s="91">
        <v>0</v>
      </c>
      <c r="Q127" s="9"/>
      <c r="R127" s="161" t="s">
        <v>975</v>
      </c>
      <c r="S127" s="124">
        <v>46108</v>
      </c>
      <c r="T127" s="175" t="s">
        <v>976</v>
      </c>
      <c r="U127" s="82"/>
      <c r="W127" s="174"/>
    </row>
    <row r="128" ht="53" customHeight="1" spans="1:25">
      <c r="A128" s="91">
        <v>125</v>
      </c>
      <c r="B128" s="91" t="s">
        <v>93</v>
      </c>
      <c r="C128" s="91" t="s">
        <v>977</v>
      </c>
      <c r="D128" s="91" t="s">
        <v>978</v>
      </c>
      <c r="E128" s="91" t="s">
        <v>701</v>
      </c>
      <c r="F128" s="91" t="s">
        <v>890</v>
      </c>
      <c r="G128" s="91" t="s">
        <v>497</v>
      </c>
      <c r="H128" s="91" t="s">
        <v>698</v>
      </c>
      <c r="I128" s="124">
        <v>46104</v>
      </c>
      <c r="J128" s="124">
        <v>46115</v>
      </c>
      <c r="K128" s="91">
        <v>10</v>
      </c>
      <c r="L128" s="105" t="s">
        <v>979</v>
      </c>
      <c r="M128" s="91">
        <v>8960</v>
      </c>
      <c r="N128" s="91">
        <v>0</v>
      </c>
      <c r="O128" s="91">
        <v>0</v>
      </c>
      <c r="P128" s="91">
        <v>0</v>
      </c>
      <c r="Q128" s="9"/>
      <c r="R128" s="161" t="s">
        <v>980</v>
      </c>
      <c r="S128" s="124">
        <v>46115</v>
      </c>
      <c r="T128" s="175" t="s">
        <v>976</v>
      </c>
      <c r="U128" s="82"/>
      <c r="W128" s="174"/>
    </row>
    <row r="129" ht="113" customHeight="1" spans="1:23">
      <c r="A129" s="91">
        <v>126</v>
      </c>
      <c r="B129" s="91" t="s">
        <v>981</v>
      </c>
      <c r="C129" s="91" t="s">
        <v>982</v>
      </c>
      <c r="D129" s="99" t="s">
        <v>983</v>
      </c>
      <c r="E129" s="91" t="s">
        <v>867</v>
      </c>
      <c r="F129" s="91" t="s">
        <v>830</v>
      </c>
      <c r="G129" s="91" t="s">
        <v>497</v>
      </c>
      <c r="H129" s="91" t="s">
        <v>646</v>
      </c>
      <c r="I129" s="124">
        <v>46097</v>
      </c>
      <c r="J129" s="124">
        <v>46123</v>
      </c>
      <c r="K129" s="91">
        <v>22</v>
      </c>
      <c r="L129" s="171" t="s">
        <v>984</v>
      </c>
      <c r="M129" s="91">
        <v>5642</v>
      </c>
      <c r="N129" s="91">
        <v>1</v>
      </c>
      <c r="O129" s="91">
        <v>1</v>
      </c>
      <c r="P129" s="91">
        <v>0</v>
      </c>
      <c r="Q129" s="91"/>
      <c r="R129" s="161" t="s">
        <v>985</v>
      </c>
      <c r="S129" s="124">
        <v>46125</v>
      </c>
      <c r="T129" s="175">
        <v>17</v>
      </c>
      <c r="U129" s="124"/>
      <c r="W129" s="174" t="s">
        <v>986</v>
      </c>
    </row>
    <row r="130" ht="130" customHeight="1" spans="1:23">
      <c r="A130" s="91">
        <v>127</v>
      </c>
      <c r="B130" s="91" t="s">
        <v>727</v>
      </c>
      <c r="C130" s="91" t="s">
        <v>987</v>
      </c>
      <c r="D130" s="91" t="s">
        <v>988</v>
      </c>
      <c r="E130" s="91" t="s">
        <v>727</v>
      </c>
      <c r="F130" s="91" t="s">
        <v>315</v>
      </c>
      <c r="G130" s="91" t="s">
        <v>497</v>
      </c>
      <c r="H130" s="91" t="s">
        <v>646</v>
      </c>
      <c r="I130" s="124">
        <v>46122</v>
      </c>
      <c r="J130" s="124">
        <v>46129</v>
      </c>
      <c r="K130" s="91">
        <v>7</v>
      </c>
      <c r="L130" s="171" t="s">
        <v>989</v>
      </c>
      <c r="M130" s="91">
        <v>4902</v>
      </c>
      <c r="N130" s="91">
        <v>0</v>
      </c>
      <c r="O130" s="91">
        <v>0</v>
      </c>
      <c r="P130" s="91">
        <v>0</v>
      </c>
      <c r="Q130" s="91"/>
      <c r="R130" s="161" t="s">
        <v>990</v>
      </c>
      <c r="S130" s="124">
        <v>46129</v>
      </c>
      <c r="T130" s="175" t="s">
        <v>991</v>
      </c>
      <c r="U130" s="82" t="s">
        <v>992</v>
      </c>
      <c r="W130" s="174" t="s">
        <v>993</v>
      </c>
    </row>
    <row r="131" ht="112" customHeight="1" spans="1:23">
      <c r="A131" s="91">
        <v>128</v>
      </c>
      <c r="B131" s="91" t="s">
        <v>727</v>
      </c>
      <c r="C131" s="91" t="s">
        <v>994</v>
      </c>
      <c r="D131" s="91" t="s">
        <v>995</v>
      </c>
      <c r="E131" s="91" t="s">
        <v>727</v>
      </c>
      <c r="F131" s="91" t="s">
        <v>315</v>
      </c>
      <c r="G131" s="91" t="s">
        <v>497</v>
      </c>
      <c r="H131" s="91" t="s">
        <v>687</v>
      </c>
      <c r="I131" s="124">
        <v>46107</v>
      </c>
      <c r="J131" s="124">
        <v>46129</v>
      </c>
      <c r="K131" s="9">
        <v>18</v>
      </c>
      <c r="L131" s="171" t="s">
        <v>996</v>
      </c>
      <c r="M131" s="91">
        <v>6370</v>
      </c>
      <c r="N131" s="91">
        <v>2</v>
      </c>
      <c r="O131" s="91">
        <v>2</v>
      </c>
      <c r="P131" s="91">
        <v>0</v>
      </c>
      <c r="Q131" s="9"/>
      <c r="R131" s="161" t="s">
        <v>990</v>
      </c>
      <c r="S131" s="124">
        <v>46129</v>
      </c>
      <c r="T131" s="175" t="s">
        <v>976</v>
      </c>
      <c r="U131" s="82"/>
      <c r="W131" s="174" t="s">
        <v>997</v>
      </c>
    </row>
    <row r="132" ht="102" customHeight="1" spans="1:23">
      <c r="A132" s="91">
        <v>129</v>
      </c>
      <c r="B132" s="91" t="s">
        <v>727</v>
      </c>
      <c r="C132" s="91" t="s">
        <v>998</v>
      </c>
      <c r="D132" s="91" t="s">
        <v>999</v>
      </c>
      <c r="E132" s="91" t="s">
        <v>727</v>
      </c>
      <c r="F132" s="91" t="s">
        <v>315</v>
      </c>
      <c r="G132" s="91" t="s">
        <v>497</v>
      </c>
      <c r="H132" s="91" t="s">
        <v>687</v>
      </c>
      <c r="I132" s="124">
        <v>46111</v>
      </c>
      <c r="J132" s="124">
        <v>46129</v>
      </c>
      <c r="K132" s="9">
        <v>15</v>
      </c>
      <c r="L132" s="171" t="s">
        <v>1000</v>
      </c>
      <c r="M132" s="91">
        <v>15329</v>
      </c>
      <c r="N132" s="91">
        <v>2</v>
      </c>
      <c r="O132" s="91">
        <v>2</v>
      </c>
      <c r="P132" s="91">
        <v>0</v>
      </c>
      <c r="Q132" s="9"/>
      <c r="R132" s="161" t="s">
        <v>990</v>
      </c>
      <c r="S132" s="124">
        <v>46129</v>
      </c>
      <c r="T132" s="175" t="s">
        <v>976</v>
      </c>
      <c r="U132" s="82"/>
      <c r="W132" s="174" t="s">
        <v>1001</v>
      </c>
    </row>
    <row r="133" ht="105" customHeight="1" spans="1:23">
      <c r="A133" s="91">
        <v>130</v>
      </c>
      <c r="B133" s="91" t="s">
        <v>727</v>
      </c>
      <c r="C133" s="91" t="s">
        <v>1002</v>
      </c>
      <c r="D133" s="99" t="s">
        <v>1003</v>
      </c>
      <c r="E133" s="91" t="s">
        <v>727</v>
      </c>
      <c r="F133" s="91" t="s">
        <v>315</v>
      </c>
      <c r="G133" s="91" t="s">
        <v>497</v>
      </c>
      <c r="H133" s="91" t="s">
        <v>687</v>
      </c>
      <c r="I133" s="124">
        <v>46107</v>
      </c>
      <c r="J133" s="124">
        <v>46129</v>
      </c>
      <c r="K133" s="9">
        <v>18</v>
      </c>
      <c r="L133" s="171" t="s">
        <v>1004</v>
      </c>
      <c r="M133" s="91">
        <v>264</v>
      </c>
      <c r="N133" s="91">
        <v>4</v>
      </c>
      <c r="O133" s="91">
        <v>1</v>
      </c>
      <c r="P133" s="91">
        <v>3</v>
      </c>
      <c r="Q133" s="9"/>
      <c r="R133" s="161" t="s">
        <v>990</v>
      </c>
      <c r="S133" s="124">
        <v>46129</v>
      </c>
      <c r="T133" s="175"/>
      <c r="U133" s="82"/>
      <c r="W133" s="174" t="s">
        <v>993</v>
      </c>
    </row>
    <row r="134" ht="94" customHeight="1" spans="1:23">
      <c r="A134" s="91">
        <v>131</v>
      </c>
      <c r="B134" s="91" t="s">
        <v>867</v>
      </c>
      <c r="C134" s="91" t="s">
        <v>1005</v>
      </c>
      <c r="D134" s="146" t="s">
        <v>1006</v>
      </c>
      <c r="E134" s="91" t="s">
        <v>720</v>
      </c>
      <c r="F134" s="91" t="s">
        <v>871</v>
      </c>
      <c r="G134" s="91" t="s">
        <v>497</v>
      </c>
      <c r="H134" s="91" t="s">
        <v>698</v>
      </c>
      <c r="I134" s="124">
        <v>46113</v>
      </c>
      <c r="J134" s="124">
        <v>46136</v>
      </c>
      <c r="K134" s="9">
        <v>21</v>
      </c>
      <c r="L134" s="171" t="s">
        <v>1007</v>
      </c>
      <c r="M134" s="91"/>
      <c r="N134" s="91"/>
      <c r="O134" s="91"/>
      <c r="P134" s="91"/>
      <c r="Q134" s="9"/>
      <c r="R134" s="97"/>
      <c r="S134" s="124"/>
      <c r="T134" s="175"/>
      <c r="U134" s="82"/>
      <c r="W134" s="82" t="s">
        <v>1001</v>
      </c>
    </row>
    <row r="135" ht="66" customHeight="1" spans="1:23">
      <c r="A135" s="91">
        <v>132</v>
      </c>
      <c r="B135" s="91" t="s">
        <v>727</v>
      </c>
      <c r="C135" s="91" t="s">
        <v>1008</v>
      </c>
      <c r="D135" s="146" t="s">
        <v>1009</v>
      </c>
      <c r="E135" s="91" t="s">
        <v>727</v>
      </c>
      <c r="F135" s="91" t="s">
        <v>315</v>
      </c>
      <c r="G135" s="91" t="s">
        <v>497</v>
      </c>
      <c r="H135" s="91" t="s">
        <v>651</v>
      </c>
      <c r="I135" s="124">
        <v>46082</v>
      </c>
      <c r="J135" s="124">
        <v>46136</v>
      </c>
      <c r="K135" s="9">
        <v>54</v>
      </c>
      <c r="L135" s="171" t="s">
        <v>1010</v>
      </c>
      <c r="M135" s="91">
        <v>342</v>
      </c>
      <c r="N135" s="91">
        <v>1</v>
      </c>
      <c r="O135" s="91">
        <v>1</v>
      </c>
      <c r="P135" s="91">
        <v>0</v>
      </c>
      <c r="Q135" s="9"/>
      <c r="R135" s="161" t="s">
        <v>1011</v>
      </c>
      <c r="S135" s="124">
        <v>46136</v>
      </c>
      <c r="T135" s="175" t="s">
        <v>1012</v>
      </c>
      <c r="U135" s="82"/>
      <c r="W135" s="82" t="s">
        <v>1001</v>
      </c>
    </row>
  </sheetData>
  <autoFilter xmlns:etc="http://www.wps.cn/officeDocument/2017/etCustomData" ref="A3:V135" etc:filterBottomFollowUsedRange="0">
    <extLst/>
  </autoFilter>
  <mergeCells count="13">
    <mergeCell ref="A1:R1"/>
    <mergeCell ref="A2:S2"/>
    <mergeCell ref="L69:L71"/>
    <mergeCell ref="S4:S8"/>
    <mergeCell ref="S9:S13"/>
    <mergeCell ref="S14:S20"/>
    <mergeCell ref="S21:S26"/>
    <mergeCell ref="S28:S29"/>
    <mergeCell ref="S30:S32"/>
    <mergeCell ref="S33:S38"/>
    <mergeCell ref="S39:S40"/>
    <mergeCell ref="S42:S43"/>
    <mergeCell ref="S44:S48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65"/>
  <sheetViews>
    <sheetView zoomScale="70" zoomScaleNormal="70" workbookViewId="0">
      <pane ySplit="2" topLeftCell="A155" activePane="bottomLeft" state="frozen"/>
      <selection/>
      <selection pane="bottomLeft" activeCell="H159" sqref="H159"/>
    </sheetView>
  </sheetViews>
  <sheetFormatPr defaultColWidth="8.88888888888889" defaultRowHeight="30" customHeight="1"/>
  <cols>
    <col min="1" max="1" width="5.55555555555556" style="1" customWidth="1"/>
    <col min="2" max="2" width="7.88888888888889" style="1" customWidth="1"/>
    <col min="3" max="3" width="20.6388888888889" style="1" customWidth="1"/>
    <col min="4" max="4" width="33.8055555555556" style="1" customWidth="1"/>
    <col min="5" max="5" width="11.5833333333333" style="1" customWidth="1"/>
    <col min="6" max="6" width="9.33333333333333" style="1" customWidth="1"/>
    <col min="7" max="8" width="10" style="1" customWidth="1"/>
    <col min="9" max="10" width="12.3333333333333" style="1" customWidth="1"/>
    <col min="11" max="11" width="9.67592592592593" style="2" customWidth="1"/>
    <col min="12" max="12" width="30.9444444444444" style="2" customWidth="1"/>
    <col min="13" max="13" width="9.36111111111111" style="2" customWidth="1"/>
    <col min="14" max="14" width="18.4074074074074" style="2" customWidth="1"/>
    <col min="15" max="15" width="12.537037037037" style="2" customWidth="1"/>
    <col min="16" max="16" width="7.33333333333333" style="2" customWidth="1"/>
    <col min="17" max="17" width="9.55555555555556" style="2" customWidth="1"/>
    <col min="18" max="18" width="8.44444444444444" style="2" customWidth="1"/>
    <col min="19" max="19" width="11.7777777777778" style="2" customWidth="1"/>
    <col min="20" max="20" width="13.5555555555556" style="2" customWidth="1"/>
    <col min="21" max="21" width="17.7685185185185" style="1" customWidth="1"/>
    <col min="22" max="22" width="8.88888888888889" style="1"/>
  </cols>
  <sheetData>
    <row r="1" customFormat="1" ht="47" customHeight="1" spans="1:49">
      <c r="A1" s="3" t="s">
        <v>1013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customFormat="1" customHeight="1" spans="1:49">
      <c r="A2" s="4" t="s">
        <v>0</v>
      </c>
      <c r="B2" s="4" t="s">
        <v>479</v>
      </c>
      <c r="C2" s="4" t="s">
        <v>622</v>
      </c>
      <c r="D2" s="4" t="s">
        <v>3</v>
      </c>
      <c r="E2" s="5" t="s">
        <v>481</v>
      </c>
      <c r="F2" s="5" t="s">
        <v>482</v>
      </c>
      <c r="G2" s="4" t="s">
        <v>483</v>
      </c>
      <c r="H2" s="5" t="s">
        <v>623</v>
      </c>
      <c r="I2" s="4" t="s">
        <v>484</v>
      </c>
      <c r="J2" s="4" t="s">
        <v>485</v>
      </c>
      <c r="K2" s="5" t="s">
        <v>486</v>
      </c>
      <c r="L2" s="5" t="s">
        <v>487</v>
      </c>
      <c r="M2" s="6" t="s">
        <v>1014</v>
      </c>
      <c r="N2" s="5" t="s">
        <v>1015</v>
      </c>
      <c r="O2" s="7" t="s">
        <v>488</v>
      </c>
      <c r="P2" s="7" t="s">
        <v>489</v>
      </c>
      <c r="Q2" s="7" t="s">
        <v>490</v>
      </c>
      <c r="R2" s="7" t="s">
        <v>491</v>
      </c>
      <c r="S2" s="7" t="s">
        <v>492</v>
      </c>
      <c r="T2" s="5" t="s">
        <v>493</v>
      </c>
      <c r="U2" s="8" t="s">
        <v>1016</v>
      </c>
      <c r="V2" s="9" t="s">
        <v>1017</v>
      </c>
    </row>
    <row r="3" ht="42" customHeight="1" spans="1:49">
      <c r="A3" s="8">
        <v>1</v>
      </c>
      <c r="B3" s="8" t="s">
        <v>494</v>
      </c>
      <c r="C3" s="10" t="s">
        <v>1018</v>
      </c>
      <c r="D3" s="10" t="s">
        <v>1019</v>
      </c>
      <c r="E3" s="11" t="s">
        <v>93</v>
      </c>
      <c r="F3" s="10" t="s">
        <v>242</v>
      </c>
      <c r="G3" s="12" t="s">
        <v>497</v>
      </c>
      <c r="H3" s="12" t="s">
        <v>682</v>
      </c>
      <c r="I3" s="13">
        <v>45726</v>
      </c>
      <c r="J3" s="13">
        <v>45730</v>
      </c>
      <c r="K3" s="10">
        <v>5</v>
      </c>
      <c r="L3" s="14" t="s">
        <v>1020</v>
      </c>
      <c r="M3" s="14">
        <v>5</v>
      </c>
      <c r="N3" s="14"/>
      <c r="O3" s="14">
        <v>3182</v>
      </c>
      <c r="P3" s="14">
        <v>1</v>
      </c>
      <c r="Q3" s="14">
        <v>1</v>
      </c>
      <c r="R3" s="14">
        <v>0</v>
      </c>
      <c r="S3" s="14">
        <v>5</v>
      </c>
      <c r="T3" s="14" t="s">
        <v>1021</v>
      </c>
      <c r="U3" s="13">
        <v>45730</v>
      </c>
      <c r="V3" s="15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customFormat="1" ht="42" customHeight="1" spans="1:49">
      <c r="A4" s="8">
        <v>2</v>
      </c>
      <c r="B4" s="8" t="s">
        <v>585</v>
      </c>
      <c r="C4" s="10"/>
      <c r="D4" s="10" t="s">
        <v>609</v>
      </c>
      <c r="E4" s="17" t="s">
        <v>593</v>
      </c>
      <c r="F4" s="11" t="s">
        <v>501</v>
      </c>
      <c r="G4" s="12" t="s">
        <v>497</v>
      </c>
      <c r="H4" s="12" t="s">
        <v>673</v>
      </c>
      <c r="I4" s="13">
        <v>45748</v>
      </c>
      <c r="J4" s="13">
        <v>45755</v>
      </c>
      <c r="K4" s="10">
        <v>5</v>
      </c>
      <c r="L4" s="14"/>
      <c r="M4" s="14">
        <v>3</v>
      </c>
      <c r="N4" s="14"/>
      <c r="O4" s="14"/>
      <c r="P4" s="14"/>
      <c r="Q4" s="14"/>
      <c r="R4" s="14"/>
      <c r="S4" s="14">
        <v>5</v>
      </c>
      <c r="T4" s="14" t="s">
        <v>1021</v>
      </c>
      <c r="U4" s="13">
        <v>45765</v>
      </c>
      <c r="V4" s="15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</row>
    <row r="5" customFormat="1" ht="42" customHeight="1" spans="1:49">
      <c r="A5" s="8">
        <v>3</v>
      </c>
      <c r="B5" s="8" t="s">
        <v>585</v>
      </c>
      <c r="C5" s="10"/>
      <c r="D5" s="10" t="s">
        <v>613</v>
      </c>
      <c r="E5" s="17" t="s">
        <v>614</v>
      </c>
      <c r="F5" s="11" t="s">
        <v>501</v>
      </c>
      <c r="G5" s="12" t="s">
        <v>497</v>
      </c>
      <c r="H5" s="12" t="s">
        <v>673</v>
      </c>
      <c r="I5" s="13">
        <v>45748</v>
      </c>
      <c r="J5" s="13">
        <v>45755</v>
      </c>
      <c r="K5" s="10">
        <v>5</v>
      </c>
      <c r="L5" s="14"/>
      <c r="M5" s="14">
        <v>4</v>
      </c>
      <c r="N5" s="14"/>
      <c r="O5" s="14"/>
      <c r="P5" s="14"/>
      <c r="Q5" s="14"/>
      <c r="R5" s="14"/>
      <c r="S5" s="14">
        <v>5</v>
      </c>
      <c r="T5" s="14" t="s">
        <v>1021</v>
      </c>
      <c r="U5" s="13">
        <v>45765</v>
      </c>
      <c r="V5" s="15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</row>
    <row r="6" customFormat="1" customHeight="1" spans="1:49">
      <c r="A6" s="18">
        <v>5</v>
      </c>
      <c r="B6" s="18" t="s">
        <v>494</v>
      </c>
      <c r="C6" s="19"/>
      <c r="D6" s="20" t="s">
        <v>1022</v>
      </c>
      <c r="E6" s="19" t="s">
        <v>233</v>
      </c>
      <c r="F6" s="19" t="s">
        <v>242</v>
      </c>
      <c r="G6" s="21" t="s">
        <v>497</v>
      </c>
      <c r="H6" s="19" t="s">
        <v>687</v>
      </c>
      <c r="I6" s="22">
        <v>45756</v>
      </c>
      <c r="J6" s="22">
        <v>45765</v>
      </c>
      <c r="K6" s="19">
        <f>((J6-I6)+1)-ROUNDDOWN((J6-I6)/7,0)*2</f>
        <v>8</v>
      </c>
      <c r="L6" s="20" t="s">
        <v>1023</v>
      </c>
      <c r="M6" s="20">
        <v>1</v>
      </c>
      <c r="N6" s="14" t="s">
        <v>1024</v>
      </c>
      <c r="O6" s="14">
        <v>4640</v>
      </c>
      <c r="P6" s="14">
        <v>1</v>
      </c>
      <c r="Q6" s="14">
        <v>1</v>
      </c>
      <c r="R6" s="14">
        <f t="shared" ref="R6:R15" si="0">P6-Q6</f>
        <v>0</v>
      </c>
      <c r="S6" s="14">
        <v>5</v>
      </c>
      <c r="T6" s="14" t="s">
        <v>1021</v>
      </c>
      <c r="U6" s="13">
        <v>45765</v>
      </c>
      <c r="V6" s="15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</row>
    <row r="7" customFormat="1" customHeight="1" spans="1:49">
      <c r="A7" s="23"/>
      <c r="B7" s="23"/>
      <c r="C7" s="24"/>
      <c r="D7" s="25"/>
      <c r="E7" s="24"/>
      <c r="F7" s="24"/>
      <c r="G7" s="26"/>
      <c r="H7" s="24"/>
      <c r="I7" s="27"/>
      <c r="J7" s="27"/>
      <c r="K7" s="24"/>
      <c r="L7" s="25"/>
      <c r="M7" s="20">
        <v>1</v>
      </c>
      <c r="N7" s="14" t="s">
        <v>1025</v>
      </c>
      <c r="O7" s="14">
        <v>4563</v>
      </c>
      <c r="P7" s="14">
        <v>1</v>
      </c>
      <c r="Q7" s="14">
        <v>1</v>
      </c>
      <c r="R7" s="14">
        <f t="shared" si="0"/>
        <v>0</v>
      </c>
      <c r="S7" s="14">
        <v>5</v>
      </c>
      <c r="T7" s="14" t="s">
        <v>1021</v>
      </c>
      <c r="U7" s="13">
        <v>45765</v>
      </c>
      <c r="V7" s="15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</row>
    <row r="8" customFormat="1" customHeight="1" spans="1:49">
      <c r="A8" s="23"/>
      <c r="B8" s="23"/>
      <c r="C8" s="24"/>
      <c r="D8" s="25"/>
      <c r="E8" s="24"/>
      <c r="F8" s="24"/>
      <c r="G8" s="26"/>
      <c r="H8" s="24"/>
      <c r="I8" s="27"/>
      <c r="J8" s="27"/>
      <c r="K8" s="24"/>
      <c r="L8" s="25"/>
      <c r="M8" s="20">
        <v>1</v>
      </c>
      <c r="N8" s="14" t="s">
        <v>1026</v>
      </c>
      <c r="O8" s="14">
        <v>7350</v>
      </c>
      <c r="P8" s="14">
        <v>1</v>
      </c>
      <c r="Q8" s="14">
        <v>1</v>
      </c>
      <c r="R8" s="14">
        <f t="shared" si="0"/>
        <v>0</v>
      </c>
      <c r="S8" s="14">
        <v>8</v>
      </c>
      <c r="T8" s="14" t="s">
        <v>1021</v>
      </c>
      <c r="U8" s="13">
        <v>45765</v>
      </c>
      <c r="V8" s="15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</row>
    <row r="9" customFormat="1" customHeight="1" spans="1:49">
      <c r="A9" s="23"/>
      <c r="B9" s="23"/>
      <c r="C9" s="24"/>
      <c r="D9" s="25"/>
      <c r="E9" s="24"/>
      <c r="F9" s="24"/>
      <c r="G9" s="26"/>
      <c r="H9" s="24"/>
      <c r="I9" s="27"/>
      <c r="J9" s="27"/>
      <c r="K9" s="24"/>
      <c r="L9" s="25"/>
      <c r="M9" s="20">
        <v>1</v>
      </c>
      <c r="N9" s="14" t="s">
        <v>1027</v>
      </c>
      <c r="O9" s="14">
        <v>5814</v>
      </c>
      <c r="P9" s="14">
        <v>1</v>
      </c>
      <c r="Q9" s="14">
        <v>1</v>
      </c>
      <c r="R9" s="14">
        <f t="shared" si="0"/>
        <v>0</v>
      </c>
      <c r="S9" s="14">
        <v>7</v>
      </c>
      <c r="T9" s="14" t="s">
        <v>1021</v>
      </c>
      <c r="U9" s="13">
        <v>45765</v>
      </c>
      <c r="V9" s="15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</row>
    <row r="10" ht="36" customHeight="1" spans="1:49">
      <c r="A10" s="28"/>
      <c r="B10" s="28"/>
      <c r="C10" s="29"/>
      <c r="D10" s="30"/>
      <c r="E10" s="29"/>
      <c r="F10" s="29"/>
      <c r="G10" s="31"/>
      <c r="H10" s="29"/>
      <c r="I10" s="32"/>
      <c r="J10" s="32"/>
      <c r="K10" s="29"/>
      <c r="L10" s="30"/>
      <c r="M10" s="20">
        <v>1</v>
      </c>
      <c r="N10" s="14" t="s">
        <v>1028</v>
      </c>
      <c r="O10" s="14">
        <v>4083</v>
      </c>
      <c r="P10" s="14">
        <v>1</v>
      </c>
      <c r="Q10" s="14">
        <v>1</v>
      </c>
      <c r="R10" s="14">
        <f t="shared" si="0"/>
        <v>0</v>
      </c>
      <c r="S10" s="14">
        <v>5</v>
      </c>
      <c r="T10" s="14" t="s">
        <v>1021</v>
      </c>
      <c r="U10" s="13">
        <v>45765</v>
      </c>
      <c r="V10" s="15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customFormat="1" ht="36" customHeight="1" spans="1:49">
      <c r="A11" s="18">
        <v>6</v>
      </c>
      <c r="B11" s="18" t="s">
        <v>494</v>
      </c>
      <c r="C11" s="19"/>
      <c r="D11" s="20" t="s">
        <v>1029</v>
      </c>
      <c r="E11" s="19" t="s">
        <v>233</v>
      </c>
      <c r="F11" s="19" t="s">
        <v>242</v>
      </c>
      <c r="G11" s="21" t="s">
        <v>497</v>
      </c>
      <c r="H11" s="19" t="s">
        <v>687</v>
      </c>
      <c r="I11" s="22">
        <v>45756</v>
      </c>
      <c r="J11" s="22">
        <v>45774</v>
      </c>
      <c r="K11" s="19">
        <f>((J11-I11)+1)-ROUNDDOWN((J11-I11)/7,0)*2</f>
        <v>15</v>
      </c>
      <c r="L11" s="20" t="s">
        <v>1030</v>
      </c>
      <c r="M11" s="20">
        <v>1</v>
      </c>
      <c r="N11" s="14" t="s">
        <v>1031</v>
      </c>
      <c r="O11" s="14">
        <v>2439</v>
      </c>
      <c r="P11" s="14">
        <v>1</v>
      </c>
      <c r="Q11" s="14">
        <v>1</v>
      </c>
      <c r="R11" s="14">
        <f t="shared" si="0"/>
        <v>0</v>
      </c>
      <c r="S11" s="8">
        <v>8</v>
      </c>
      <c r="T11" s="14" t="s">
        <v>1021</v>
      </c>
      <c r="U11" s="13">
        <v>45765</v>
      </c>
      <c r="V11" s="15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customFormat="1" ht="36" customHeight="1" spans="1:49">
      <c r="A12" s="23"/>
      <c r="B12" s="23"/>
      <c r="C12" s="24"/>
      <c r="D12" s="25"/>
      <c r="E12" s="24"/>
      <c r="F12" s="24"/>
      <c r="G12" s="26"/>
      <c r="H12" s="24"/>
      <c r="I12" s="27"/>
      <c r="J12" s="27"/>
      <c r="K12" s="24"/>
      <c r="L12" s="25"/>
      <c r="M12" s="20">
        <v>1</v>
      </c>
      <c r="N12" s="14" t="s">
        <v>1032</v>
      </c>
      <c r="O12" s="14">
        <v>2108</v>
      </c>
      <c r="P12" s="14">
        <v>1</v>
      </c>
      <c r="Q12" s="14">
        <v>1</v>
      </c>
      <c r="R12" s="14">
        <f t="shared" si="0"/>
        <v>0</v>
      </c>
      <c r="S12" s="8">
        <v>8</v>
      </c>
      <c r="T12" s="14" t="s">
        <v>1021</v>
      </c>
      <c r="U12" s="13">
        <v>45765</v>
      </c>
      <c r="V12" s="15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customFormat="1" ht="36" customHeight="1" spans="1:49">
      <c r="A13" s="23"/>
      <c r="B13" s="23"/>
      <c r="C13" s="24"/>
      <c r="D13" s="25"/>
      <c r="E13" s="24"/>
      <c r="F13" s="24"/>
      <c r="G13" s="26"/>
      <c r="H13" s="24"/>
      <c r="I13" s="27"/>
      <c r="J13" s="27"/>
      <c r="K13" s="24"/>
      <c r="L13" s="25"/>
      <c r="M13" s="20">
        <v>1</v>
      </c>
      <c r="N13" s="14" t="s">
        <v>1033</v>
      </c>
      <c r="O13" s="14">
        <v>2239</v>
      </c>
      <c r="P13" s="14">
        <v>1</v>
      </c>
      <c r="Q13" s="14">
        <v>1</v>
      </c>
      <c r="R13" s="14">
        <f t="shared" si="0"/>
        <v>0</v>
      </c>
      <c r="S13" s="8">
        <v>8</v>
      </c>
      <c r="T13" s="14" t="s">
        <v>1021</v>
      </c>
      <c r="U13" s="13">
        <v>45765</v>
      </c>
      <c r="V13" s="15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</row>
    <row r="14" customFormat="1" ht="36" customHeight="1" spans="1:49">
      <c r="A14" s="23"/>
      <c r="B14" s="23"/>
      <c r="C14" s="24"/>
      <c r="D14" s="25"/>
      <c r="E14" s="24"/>
      <c r="F14" s="24"/>
      <c r="G14" s="26"/>
      <c r="H14" s="24"/>
      <c r="I14" s="27"/>
      <c r="J14" s="27"/>
      <c r="K14" s="24"/>
      <c r="L14" s="25"/>
      <c r="M14" s="20">
        <v>1</v>
      </c>
      <c r="N14" s="14" t="s">
        <v>1034</v>
      </c>
      <c r="O14" s="14">
        <v>1803</v>
      </c>
      <c r="P14" s="14">
        <v>2</v>
      </c>
      <c r="Q14" s="14">
        <v>1</v>
      </c>
      <c r="R14" s="14">
        <f t="shared" si="0"/>
        <v>1</v>
      </c>
      <c r="S14" s="14">
        <v>5</v>
      </c>
      <c r="T14" s="14" t="s">
        <v>1021</v>
      </c>
      <c r="U14" s="13">
        <v>45774</v>
      </c>
      <c r="V14" s="15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</row>
    <row r="15" customFormat="1" customHeight="1" spans="1:49">
      <c r="A15" s="28"/>
      <c r="B15" s="28"/>
      <c r="C15" s="29"/>
      <c r="D15" s="30"/>
      <c r="E15" s="29"/>
      <c r="F15" s="29"/>
      <c r="G15" s="31"/>
      <c r="H15" s="29"/>
      <c r="I15" s="33"/>
      <c r="J15" s="32"/>
      <c r="K15" s="29"/>
      <c r="L15" s="30"/>
      <c r="M15" s="20">
        <v>1</v>
      </c>
      <c r="N15" s="14" t="s">
        <v>1035</v>
      </c>
      <c r="O15" s="14">
        <v>1786</v>
      </c>
      <c r="P15" s="14">
        <v>2</v>
      </c>
      <c r="Q15" s="14">
        <v>2</v>
      </c>
      <c r="R15" s="14">
        <f t="shared" si="0"/>
        <v>0</v>
      </c>
      <c r="S15" s="34">
        <v>6</v>
      </c>
      <c r="T15" s="14" t="s">
        <v>1021</v>
      </c>
      <c r="U15" s="13">
        <v>45765</v>
      </c>
      <c r="V15" s="15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</row>
    <row r="16" customFormat="1" customHeight="1" spans="1:49">
      <c r="A16" s="23">
        <v>7</v>
      </c>
      <c r="B16" s="23" t="s">
        <v>494</v>
      </c>
      <c r="C16" s="24"/>
      <c r="D16" s="35" t="s">
        <v>1036</v>
      </c>
      <c r="E16" s="24" t="s">
        <v>233</v>
      </c>
      <c r="F16" s="24" t="s">
        <v>242</v>
      </c>
      <c r="G16" s="26" t="s">
        <v>497</v>
      </c>
      <c r="H16" s="24" t="s">
        <v>698</v>
      </c>
      <c r="I16" s="27">
        <v>45748</v>
      </c>
      <c r="J16" s="27">
        <v>45774</v>
      </c>
      <c r="K16" s="24">
        <f>((J16-I16)+1)-ROUNDDOWN((J16-I16)/7,0)*2</f>
        <v>21</v>
      </c>
      <c r="L16" s="25" t="s">
        <v>1037</v>
      </c>
      <c r="M16" s="20">
        <v>1</v>
      </c>
      <c r="N16" s="14" t="s">
        <v>1038</v>
      </c>
      <c r="O16" s="14">
        <v>2201</v>
      </c>
      <c r="P16" s="14">
        <v>2</v>
      </c>
      <c r="Q16" s="14">
        <v>2</v>
      </c>
      <c r="R16" s="14">
        <f t="shared" ref="R16:R29" si="1">P16-Q16</f>
        <v>0</v>
      </c>
      <c r="S16" s="14"/>
      <c r="T16" s="14" t="s">
        <v>1021</v>
      </c>
      <c r="U16" s="13">
        <v>45774</v>
      </c>
      <c r="V16" s="15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customFormat="1" customHeight="1" spans="1:49">
      <c r="A17" s="23"/>
      <c r="B17" s="23"/>
      <c r="C17" s="24"/>
      <c r="D17" s="26"/>
      <c r="E17" s="24"/>
      <c r="F17" s="24"/>
      <c r="G17" s="26"/>
      <c r="H17" s="24"/>
      <c r="I17" s="27"/>
      <c r="J17" s="27"/>
      <c r="K17" s="24"/>
      <c r="L17" s="25"/>
      <c r="M17" s="20">
        <v>1</v>
      </c>
      <c r="N17" s="14" t="s">
        <v>1039</v>
      </c>
      <c r="O17" s="14">
        <v>1832</v>
      </c>
      <c r="P17" s="14">
        <v>2</v>
      </c>
      <c r="Q17" s="14">
        <v>2</v>
      </c>
      <c r="R17" s="14">
        <f t="shared" si="1"/>
        <v>0</v>
      </c>
      <c r="S17" s="14"/>
      <c r="T17" s="14" t="s">
        <v>1021</v>
      </c>
      <c r="U17" s="13">
        <v>45774</v>
      </c>
      <c r="V17" s="15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customFormat="1" customHeight="1" spans="1:49">
      <c r="A18" s="23"/>
      <c r="B18" s="23"/>
      <c r="C18" s="24"/>
      <c r="D18" s="26"/>
      <c r="E18" s="24"/>
      <c r="F18" s="24"/>
      <c r="G18" s="26"/>
      <c r="H18" s="24"/>
      <c r="I18" s="27"/>
      <c r="J18" s="27"/>
      <c r="K18" s="24"/>
      <c r="L18" s="25"/>
      <c r="M18" s="20">
        <v>1</v>
      </c>
      <c r="N18" s="14" t="s">
        <v>1040</v>
      </c>
      <c r="O18" s="14">
        <v>2016</v>
      </c>
      <c r="P18" s="14">
        <v>2</v>
      </c>
      <c r="Q18" s="14">
        <v>2</v>
      </c>
      <c r="R18" s="14">
        <f t="shared" si="1"/>
        <v>0</v>
      </c>
      <c r="S18" s="14"/>
      <c r="T18" s="14" t="s">
        <v>1021</v>
      </c>
      <c r="U18" s="13">
        <v>45774</v>
      </c>
      <c r="V18" s="15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</row>
    <row r="19" customFormat="1" customHeight="1" spans="1:49">
      <c r="A19" s="23"/>
      <c r="B19" s="23"/>
      <c r="C19" s="24"/>
      <c r="D19" s="26"/>
      <c r="E19" s="24"/>
      <c r="F19" s="24"/>
      <c r="G19" s="26"/>
      <c r="H19" s="24"/>
      <c r="I19" s="27"/>
      <c r="J19" s="27"/>
      <c r="K19" s="24"/>
      <c r="L19" s="25"/>
      <c r="M19" s="20">
        <v>1</v>
      </c>
      <c r="N19" s="14" t="s">
        <v>1041</v>
      </c>
      <c r="O19" s="14">
        <v>1944</v>
      </c>
      <c r="P19" s="14">
        <v>2</v>
      </c>
      <c r="Q19" s="14">
        <v>1</v>
      </c>
      <c r="R19" s="14">
        <f t="shared" si="1"/>
        <v>1</v>
      </c>
      <c r="S19" s="14"/>
      <c r="T19" s="14" t="s">
        <v>1021</v>
      </c>
      <c r="U19" s="13">
        <v>45774</v>
      </c>
      <c r="V19" s="15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customFormat="1" customHeight="1" spans="1:49">
      <c r="A20" s="23"/>
      <c r="B20" s="23"/>
      <c r="C20" s="24"/>
      <c r="D20" s="26"/>
      <c r="E20" s="24"/>
      <c r="F20" s="24"/>
      <c r="G20" s="26"/>
      <c r="H20" s="24"/>
      <c r="I20" s="27"/>
      <c r="J20" s="27"/>
      <c r="K20" s="24"/>
      <c r="L20" s="25"/>
      <c r="M20" s="20">
        <v>1</v>
      </c>
      <c r="N20" s="14" t="s">
        <v>1042</v>
      </c>
      <c r="O20" s="14">
        <v>1575</v>
      </c>
      <c r="P20" s="14">
        <v>2</v>
      </c>
      <c r="Q20" s="14">
        <v>1</v>
      </c>
      <c r="R20" s="14">
        <f t="shared" si="1"/>
        <v>1</v>
      </c>
      <c r="S20" s="14"/>
      <c r="T20" s="14" t="s">
        <v>1021</v>
      </c>
      <c r="U20" s="13">
        <v>45774</v>
      </c>
      <c r="V20" s="15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customFormat="1" customHeight="1" spans="1:49">
      <c r="A21" s="23"/>
      <c r="B21" s="23"/>
      <c r="C21" s="24"/>
      <c r="D21" s="26"/>
      <c r="E21" s="24"/>
      <c r="F21" s="24"/>
      <c r="G21" s="26"/>
      <c r="H21" s="24"/>
      <c r="I21" s="27"/>
      <c r="J21" s="27"/>
      <c r="K21" s="24"/>
      <c r="L21" s="25"/>
      <c r="M21" s="20">
        <v>1</v>
      </c>
      <c r="N21" s="14" t="s">
        <v>1043</v>
      </c>
      <c r="O21" s="14">
        <v>1099</v>
      </c>
      <c r="P21" s="14">
        <v>2</v>
      </c>
      <c r="Q21" s="14">
        <v>1</v>
      </c>
      <c r="R21" s="14">
        <f t="shared" si="1"/>
        <v>1</v>
      </c>
      <c r="S21" s="14"/>
      <c r="T21" s="14" t="s">
        <v>1021</v>
      </c>
      <c r="U21" s="13">
        <v>45774</v>
      </c>
      <c r="V21" s="15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</row>
    <row r="22" customFormat="1" customHeight="1" spans="1:49">
      <c r="A22" s="23"/>
      <c r="B22" s="23"/>
      <c r="C22" s="24"/>
      <c r="D22" s="26"/>
      <c r="E22" s="24"/>
      <c r="F22" s="24"/>
      <c r="G22" s="26"/>
      <c r="H22" s="24"/>
      <c r="I22" s="27"/>
      <c r="J22" s="27"/>
      <c r="K22" s="24"/>
      <c r="L22" s="25"/>
      <c r="M22" s="20">
        <v>1</v>
      </c>
      <c r="N22" s="14" t="s">
        <v>1044</v>
      </c>
      <c r="O22" s="14">
        <v>1390</v>
      </c>
      <c r="P22" s="14">
        <v>2</v>
      </c>
      <c r="Q22" s="14">
        <v>1</v>
      </c>
      <c r="R22" s="14">
        <f t="shared" si="1"/>
        <v>1</v>
      </c>
      <c r="S22" s="14"/>
      <c r="T22" s="14" t="s">
        <v>1021</v>
      </c>
      <c r="U22" s="13">
        <v>45774</v>
      </c>
      <c r="V22" s="15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customFormat="1" customHeight="1" spans="1:49">
      <c r="A23" s="23"/>
      <c r="B23" s="23"/>
      <c r="C23" s="24"/>
      <c r="D23" s="26"/>
      <c r="E23" s="24"/>
      <c r="F23" s="24"/>
      <c r="G23" s="26"/>
      <c r="H23" s="24"/>
      <c r="I23" s="27"/>
      <c r="J23" s="27"/>
      <c r="K23" s="24"/>
      <c r="L23" s="25"/>
      <c r="M23" s="20">
        <v>1</v>
      </c>
      <c r="N23" s="14" t="s">
        <v>1045</v>
      </c>
      <c r="O23" s="14">
        <v>1613</v>
      </c>
      <c r="P23" s="14">
        <v>2</v>
      </c>
      <c r="Q23" s="14">
        <v>1</v>
      </c>
      <c r="R23" s="14">
        <f t="shared" si="1"/>
        <v>1</v>
      </c>
      <c r="S23" s="14"/>
      <c r="T23" s="14" t="s">
        <v>1021</v>
      </c>
      <c r="U23" s="13">
        <v>45774</v>
      </c>
      <c r="V23" s="15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customFormat="1" customHeight="1" spans="1:49">
      <c r="A24" s="28"/>
      <c r="B24" s="28"/>
      <c r="C24" s="29"/>
      <c r="D24" s="31"/>
      <c r="E24" s="29"/>
      <c r="F24" s="29"/>
      <c r="G24" s="31"/>
      <c r="H24" s="29"/>
      <c r="I24" s="32"/>
      <c r="J24" s="32"/>
      <c r="K24" s="29"/>
      <c r="L24" s="30"/>
      <c r="M24" s="20">
        <v>1</v>
      </c>
      <c r="N24" s="14" t="s">
        <v>1046</v>
      </c>
      <c r="O24" s="14">
        <v>1304</v>
      </c>
      <c r="P24" s="14">
        <v>2</v>
      </c>
      <c r="Q24" s="14">
        <v>1</v>
      </c>
      <c r="R24" s="14">
        <f t="shared" si="1"/>
        <v>1</v>
      </c>
      <c r="S24" s="14"/>
      <c r="T24" s="14" t="s">
        <v>1021</v>
      </c>
      <c r="U24" s="13">
        <v>45774</v>
      </c>
      <c r="V24" s="15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customFormat="1" ht="46" customHeight="1" spans="1:49">
      <c r="A25" s="18">
        <v>8</v>
      </c>
      <c r="B25" s="18" t="s">
        <v>494</v>
      </c>
      <c r="C25" s="19"/>
      <c r="D25" s="36" t="s">
        <v>1047</v>
      </c>
      <c r="E25" s="18" t="s">
        <v>93</v>
      </c>
      <c r="F25" s="19" t="s">
        <v>242</v>
      </c>
      <c r="G25" s="21" t="s">
        <v>497</v>
      </c>
      <c r="H25" s="19" t="s">
        <v>682</v>
      </c>
      <c r="I25" s="22">
        <v>45748</v>
      </c>
      <c r="J25" s="22">
        <v>45764</v>
      </c>
      <c r="K25" s="19">
        <f>((J25-I25)+1)-ROUNDDOWN((J25-I25)/7,0)*2</f>
        <v>13</v>
      </c>
      <c r="L25" s="36" t="s">
        <v>1048</v>
      </c>
      <c r="M25" s="20">
        <v>1</v>
      </c>
      <c r="N25" s="14" t="s">
        <v>1049</v>
      </c>
      <c r="O25" s="14">
        <v>2283</v>
      </c>
      <c r="P25" s="14">
        <v>1</v>
      </c>
      <c r="Q25" s="14">
        <v>1</v>
      </c>
      <c r="R25" s="14">
        <f t="shared" si="1"/>
        <v>0</v>
      </c>
      <c r="S25" s="14">
        <v>7</v>
      </c>
      <c r="T25" s="14" t="s">
        <v>1021</v>
      </c>
      <c r="U25" s="13">
        <v>45765</v>
      </c>
      <c r="V25" s="15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</row>
    <row r="26" customFormat="1" ht="46" customHeight="1" spans="1:49">
      <c r="A26" s="23"/>
      <c r="B26" s="23"/>
      <c r="C26" s="24"/>
      <c r="D26" s="23"/>
      <c r="E26" s="23"/>
      <c r="F26" s="24"/>
      <c r="G26" s="26"/>
      <c r="H26" s="24"/>
      <c r="I26" s="27"/>
      <c r="J26" s="27"/>
      <c r="K26" s="24"/>
      <c r="L26" s="37"/>
      <c r="M26" s="20">
        <v>1</v>
      </c>
      <c r="N26" s="14" t="s">
        <v>1050</v>
      </c>
      <c r="O26" s="14">
        <v>2109</v>
      </c>
      <c r="P26" s="14">
        <v>1</v>
      </c>
      <c r="Q26" s="14">
        <v>1</v>
      </c>
      <c r="R26" s="14">
        <f t="shared" si="1"/>
        <v>0</v>
      </c>
      <c r="S26" s="14">
        <v>7</v>
      </c>
      <c r="T26" s="14" t="s">
        <v>1021</v>
      </c>
      <c r="U26" s="13">
        <v>45765</v>
      </c>
      <c r="V26" s="15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customFormat="1" ht="46" customHeight="1" spans="1:49">
      <c r="A27" s="23"/>
      <c r="B27" s="23"/>
      <c r="C27" s="24"/>
      <c r="D27" s="23"/>
      <c r="E27" s="23"/>
      <c r="F27" s="24"/>
      <c r="G27" s="26"/>
      <c r="H27" s="24"/>
      <c r="I27" s="27"/>
      <c r="J27" s="27"/>
      <c r="K27" s="24"/>
      <c r="L27" s="37"/>
      <c r="M27" s="20">
        <v>1</v>
      </c>
      <c r="N27" s="14" t="s">
        <v>1051</v>
      </c>
      <c r="O27" s="14">
        <v>2842</v>
      </c>
      <c r="P27" s="14">
        <v>1</v>
      </c>
      <c r="Q27" s="14">
        <v>1</v>
      </c>
      <c r="R27" s="14">
        <f t="shared" si="1"/>
        <v>0</v>
      </c>
      <c r="S27" s="14">
        <v>7</v>
      </c>
      <c r="T27" s="14" t="s">
        <v>1021</v>
      </c>
      <c r="U27" s="13">
        <v>45765</v>
      </c>
      <c r="V27" s="15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customFormat="1" ht="46" customHeight="1" spans="1:49">
      <c r="A28" s="23"/>
      <c r="B28" s="23"/>
      <c r="C28" s="24"/>
      <c r="D28" s="23"/>
      <c r="E28" s="23"/>
      <c r="F28" s="24"/>
      <c r="G28" s="26"/>
      <c r="H28" s="24"/>
      <c r="I28" s="27"/>
      <c r="J28" s="27"/>
      <c r="K28" s="24"/>
      <c r="L28" s="37"/>
      <c r="M28" s="20">
        <v>1</v>
      </c>
      <c r="N28" s="14" t="s">
        <v>1052</v>
      </c>
      <c r="O28" s="14">
        <v>2933</v>
      </c>
      <c r="P28" s="14">
        <v>1</v>
      </c>
      <c r="Q28" s="14">
        <v>1</v>
      </c>
      <c r="R28" s="14">
        <f t="shared" si="1"/>
        <v>0</v>
      </c>
      <c r="S28" s="14">
        <v>7</v>
      </c>
      <c r="T28" s="14" t="s">
        <v>1021</v>
      </c>
      <c r="U28" s="13">
        <v>45765</v>
      </c>
      <c r="V28" s="15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ht="40" customHeight="1" spans="1:49">
      <c r="A29" s="28"/>
      <c r="B29" s="38"/>
      <c r="C29" s="29"/>
      <c r="D29" s="28"/>
      <c r="E29" s="28"/>
      <c r="F29" s="29"/>
      <c r="G29" s="31"/>
      <c r="H29" s="29"/>
      <c r="I29" s="32"/>
      <c r="J29" s="32"/>
      <c r="K29" s="29"/>
      <c r="L29" s="7"/>
      <c r="M29" s="20">
        <v>1</v>
      </c>
      <c r="N29" s="14" t="s">
        <v>1053</v>
      </c>
      <c r="O29" s="39">
        <v>2990</v>
      </c>
      <c r="P29" s="39">
        <v>1</v>
      </c>
      <c r="Q29" s="39">
        <v>1</v>
      </c>
      <c r="R29" s="14">
        <f t="shared" si="1"/>
        <v>0</v>
      </c>
      <c r="S29" s="14">
        <v>7</v>
      </c>
      <c r="T29" s="14" t="s">
        <v>1021</v>
      </c>
      <c r="U29" s="13">
        <v>45765</v>
      </c>
      <c r="V29" s="40"/>
    </row>
    <row r="30" ht="67" customHeight="1" spans="1:49">
      <c r="A30" s="8">
        <v>9</v>
      </c>
      <c r="B30" s="8" t="s">
        <v>494</v>
      </c>
      <c r="C30" s="8"/>
      <c r="D30" s="39" t="s">
        <v>1054</v>
      </c>
      <c r="E30" s="8" t="s">
        <v>311</v>
      </c>
      <c r="F30" s="8" t="s">
        <v>98</v>
      </c>
      <c r="G30" s="8" t="s">
        <v>497</v>
      </c>
      <c r="H30" s="8" t="s">
        <v>698</v>
      </c>
      <c r="I30" s="41">
        <v>45770</v>
      </c>
      <c r="J30" s="41">
        <v>45775</v>
      </c>
      <c r="K30" s="10">
        <f>((J30-I30)+1)-ROUNDDOWN((J30-I30)/7,0)*2</f>
        <v>6</v>
      </c>
      <c r="L30" s="39" t="s">
        <v>1055</v>
      </c>
      <c r="M30" s="20">
        <v>1</v>
      </c>
      <c r="N30" s="42" t="s">
        <v>1056</v>
      </c>
      <c r="O30" s="39"/>
      <c r="P30" s="39"/>
      <c r="Q30" s="39"/>
      <c r="R30" s="39"/>
      <c r="S30" s="39"/>
      <c r="T30" s="14" t="s">
        <v>1021</v>
      </c>
      <c r="U30" s="13">
        <v>45774</v>
      </c>
      <c r="V30" s="40"/>
    </row>
    <row r="31" customHeight="1" spans="1:49">
      <c r="A31" s="8"/>
      <c r="B31" s="8"/>
      <c r="C31" s="8"/>
      <c r="D31" s="39"/>
      <c r="E31" s="8"/>
      <c r="F31" s="8"/>
      <c r="G31" s="8"/>
      <c r="H31" s="8"/>
      <c r="I31" s="41"/>
      <c r="J31" s="41"/>
      <c r="K31" s="10"/>
      <c r="L31" s="39"/>
      <c r="M31" s="20">
        <v>1</v>
      </c>
      <c r="N31" s="42" t="s">
        <v>1057</v>
      </c>
      <c r="O31" s="39"/>
      <c r="P31" s="39"/>
      <c r="Q31" s="39"/>
      <c r="R31" s="39"/>
      <c r="S31" s="39"/>
      <c r="T31" s="14" t="s">
        <v>1021</v>
      </c>
      <c r="U31" s="13">
        <v>45774</v>
      </c>
      <c r="V31" s="40"/>
    </row>
    <row r="32" customHeight="1" spans="1:49">
      <c r="A32" s="8"/>
      <c r="B32" s="8"/>
      <c r="C32" s="8"/>
      <c r="D32" s="39"/>
      <c r="E32" s="8"/>
      <c r="F32" s="8"/>
      <c r="G32" s="8"/>
      <c r="H32" s="8"/>
      <c r="I32" s="41"/>
      <c r="J32" s="41"/>
      <c r="K32" s="10"/>
      <c r="L32" s="39"/>
      <c r="M32" s="20">
        <v>1</v>
      </c>
      <c r="N32" s="42" t="s">
        <v>1058</v>
      </c>
      <c r="O32" s="39"/>
      <c r="P32" s="39"/>
      <c r="Q32" s="39"/>
      <c r="R32" s="39"/>
      <c r="S32" s="39"/>
      <c r="T32" s="14" t="s">
        <v>1021</v>
      </c>
      <c r="U32" s="13">
        <v>45774</v>
      </c>
      <c r="V32" s="40"/>
    </row>
    <row r="33" customHeight="1" spans="1:22">
      <c r="A33" s="8"/>
      <c r="B33" s="8"/>
      <c r="C33" s="8"/>
      <c r="D33" s="39"/>
      <c r="E33" s="8"/>
      <c r="F33" s="8"/>
      <c r="G33" s="8"/>
      <c r="H33" s="8"/>
      <c r="I33" s="41"/>
      <c r="J33" s="41"/>
      <c r="K33" s="10"/>
      <c r="L33" s="39"/>
      <c r="M33" s="20">
        <v>1</v>
      </c>
      <c r="N33" s="42" t="s">
        <v>1059</v>
      </c>
      <c r="O33" s="39"/>
      <c r="P33" s="39"/>
      <c r="Q33" s="39"/>
      <c r="R33" s="39"/>
      <c r="S33" s="39"/>
      <c r="T33" s="14" t="s">
        <v>1021</v>
      </c>
      <c r="U33" s="13">
        <v>45774</v>
      </c>
      <c r="V33" s="40"/>
    </row>
    <row r="34" customHeight="1" spans="1:22">
      <c r="A34" s="8"/>
      <c r="B34" s="8"/>
      <c r="C34" s="8"/>
      <c r="D34" s="39"/>
      <c r="E34" s="8"/>
      <c r="F34" s="8"/>
      <c r="G34" s="8"/>
      <c r="H34" s="8"/>
      <c r="I34" s="41"/>
      <c r="J34" s="41"/>
      <c r="K34" s="10"/>
      <c r="L34" s="39"/>
      <c r="M34" s="20">
        <v>1</v>
      </c>
      <c r="N34" s="42" t="s">
        <v>1060</v>
      </c>
      <c r="O34" s="39"/>
      <c r="P34" s="39"/>
      <c r="Q34" s="39"/>
      <c r="R34" s="39"/>
      <c r="S34" s="39"/>
      <c r="T34" s="14" t="s">
        <v>1021</v>
      </c>
      <c r="U34" s="13">
        <v>45774</v>
      </c>
      <c r="V34" s="40"/>
    </row>
    <row r="35" customHeight="1" spans="1:22">
      <c r="A35" s="8"/>
      <c r="B35" s="8"/>
      <c r="C35" s="8"/>
      <c r="D35" s="39"/>
      <c r="E35" s="8"/>
      <c r="F35" s="8"/>
      <c r="G35" s="8"/>
      <c r="H35" s="8"/>
      <c r="I35" s="41"/>
      <c r="J35" s="41"/>
      <c r="K35" s="10"/>
      <c r="L35" s="39"/>
      <c r="M35" s="20">
        <v>1</v>
      </c>
      <c r="N35" s="42" t="s">
        <v>1061</v>
      </c>
      <c r="O35" s="39"/>
      <c r="P35" s="39"/>
      <c r="Q35" s="39"/>
      <c r="R35" s="39"/>
      <c r="S35" s="39"/>
      <c r="T35" s="14" t="s">
        <v>1021</v>
      </c>
      <c r="U35" s="13">
        <v>45774</v>
      </c>
      <c r="V35" s="40"/>
    </row>
    <row r="36" customHeight="1" spans="1:22">
      <c r="A36" s="8"/>
      <c r="B36" s="8"/>
      <c r="C36" s="8"/>
      <c r="D36" s="39"/>
      <c r="E36" s="8"/>
      <c r="F36" s="8"/>
      <c r="G36" s="8"/>
      <c r="H36" s="8"/>
      <c r="I36" s="41"/>
      <c r="J36" s="41"/>
      <c r="K36" s="10"/>
      <c r="L36" s="39"/>
      <c r="M36" s="20">
        <v>1</v>
      </c>
      <c r="N36" s="42" t="s">
        <v>1062</v>
      </c>
      <c r="O36" s="39"/>
      <c r="P36" s="39"/>
      <c r="Q36" s="39"/>
      <c r="R36" s="39"/>
      <c r="S36" s="39"/>
      <c r="T36" s="14" t="s">
        <v>1021</v>
      </c>
      <c r="U36" s="13">
        <v>45774</v>
      </c>
      <c r="V36" s="40"/>
    </row>
    <row r="37" customHeight="1" spans="1:22">
      <c r="A37" s="8"/>
      <c r="B37" s="8"/>
      <c r="C37" s="8"/>
      <c r="D37" s="39"/>
      <c r="E37" s="8"/>
      <c r="F37" s="8"/>
      <c r="G37" s="8"/>
      <c r="H37" s="8"/>
      <c r="I37" s="41"/>
      <c r="J37" s="41"/>
      <c r="K37" s="10"/>
      <c r="L37" s="39"/>
      <c r="M37" s="20">
        <v>1</v>
      </c>
      <c r="N37" s="42" t="s">
        <v>1063</v>
      </c>
      <c r="O37" s="39"/>
      <c r="P37" s="39"/>
      <c r="Q37" s="39"/>
      <c r="R37" s="39"/>
      <c r="S37" s="39"/>
      <c r="T37" s="14" t="s">
        <v>1021</v>
      </c>
      <c r="U37" s="13">
        <v>45774</v>
      </c>
      <c r="V37" s="40"/>
    </row>
    <row r="38" customHeight="1" spans="1:22">
      <c r="A38" s="8"/>
      <c r="B38" s="8"/>
      <c r="C38" s="8"/>
      <c r="D38" s="39"/>
      <c r="E38" s="8"/>
      <c r="F38" s="8"/>
      <c r="G38" s="8"/>
      <c r="H38" s="8"/>
      <c r="I38" s="41"/>
      <c r="J38" s="41"/>
      <c r="K38" s="10"/>
      <c r="L38" s="39"/>
      <c r="M38" s="20">
        <v>1</v>
      </c>
      <c r="N38" s="42" t="s">
        <v>1064</v>
      </c>
      <c r="O38" s="39"/>
      <c r="P38" s="39"/>
      <c r="Q38" s="39"/>
      <c r="R38" s="39"/>
      <c r="S38" s="39"/>
      <c r="T38" s="14" t="s">
        <v>1021</v>
      </c>
      <c r="U38" s="13">
        <v>45774</v>
      </c>
      <c r="V38" s="40"/>
    </row>
    <row r="39" customHeight="1" spans="1:22">
      <c r="A39" s="8"/>
      <c r="B39" s="8"/>
      <c r="C39" s="18"/>
      <c r="D39" s="36"/>
      <c r="E39" s="18"/>
      <c r="F39" s="18"/>
      <c r="G39" s="18"/>
      <c r="H39" s="18"/>
      <c r="I39" s="43"/>
      <c r="J39" s="43"/>
      <c r="K39" s="19"/>
      <c r="L39" s="36"/>
      <c r="M39" s="20">
        <v>1</v>
      </c>
      <c r="N39" s="44" t="s">
        <v>1065</v>
      </c>
      <c r="O39" s="36"/>
      <c r="P39" s="36"/>
      <c r="Q39" s="36"/>
      <c r="R39" s="36"/>
      <c r="S39" s="36"/>
      <c r="T39" s="20" t="s">
        <v>1021</v>
      </c>
      <c r="U39" s="13">
        <v>45774</v>
      </c>
      <c r="V39" s="40"/>
    </row>
    <row r="40" customHeight="1" spans="1:22">
      <c r="A40" s="45">
        <v>10</v>
      </c>
      <c r="B40" s="45" t="s">
        <v>494</v>
      </c>
      <c r="C40" s="45" t="s">
        <v>1066</v>
      </c>
      <c r="D40" s="46" t="s">
        <v>1067</v>
      </c>
      <c r="E40" s="45" t="s">
        <v>233</v>
      </c>
      <c r="F40" s="45" t="s">
        <v>315</v>
      </c>
      <c r="G40" s="45" t="s">
        <v>497</v>
      </c>
      <c r="H40" s="45" t="s">
        <v>658</v>
      </c>
      <c r="I40" s="47">
        <v>45790</v>
      </c>
      <c r="J40" s="47">
        <v>45792</v>
      </c>
      <c r="K40" s="19">
        <v>3</v>
      </c>
      <c r="L40" s="46" t="s">
        <v>1068</v>
      </c>
      <c r="M40" s="9">
        <v>1</v>
      </c>
      <c r="N40" s="9" t="s">
        <v>1069</v>
      </c>
      <c r="O40" s="9">
        <v>7878</v>
      </c>
      <c r="P40" s="9"/>
      <c r="Q40" s="9"/>
      <c r="R40" s="9"/>
      <c r="S40" s="9"/>
      <c r="T40" s="20" t="s">
        <v>1021</v>
      </c>
      <c r="U40" s="48">
        <v>45793</v>
      </c>
      <c r="V40" s="40"/>
    </row>
    <row r="41" customHeight="1" spans="1:22">
      <c r="A41" s="49"/>
      <c r="B41" s="49"/>
      <c r="C41" s="49"/>
      <c r="D41" s="50"/>
      <c r="E41" s="49"/>
      <c r="F41" s="49"/>
      <c r="G41" s="49"/>
      <c r="H41" s="49"/>
      <c r="I41" s="51"/>
      <c r="J41" s="51"/>
      <c r="K41" s="24"/>
      <c r="L41" s="50"/>
      <c r="M41" s="9">
        <v>1</v>
      </c>
      <c r="N41" s="9" t="s">
        <v>1070</v>
      </c>
      <c r="O41" s="9">
        <v>9146</v>
      </c>
      <c r="P41" s="9"/>
      <c r="Q41" s="9"/>
      <c r="R41" s="9"/>
      <c r="S41" s="9"/>
      <c r="T41" s="20" t="s">
        <v>1021</v>
      </c>
      <c r="U41" s="48">
        <v>45793</v>
      </c>
      <c r="V41" s="40"/>
    </row>
    <row r="42" customHeight="1" spans="1:22">
      <c r="A42" s="49"/>
      <c r="B42" s="49"/>
      <c r="C42" s="49"/>
      <c r="D42" s="50"/>
      <c r="E42" s="49"/>
      <c r="F42" s="49"/>
      <c r="G42" s="49"/>
      <c r="H42" s="49"/>
      <c r="I42" s="51"/>
      <c r="J42" s="51"/>
      <c r="K42" s="24"/>
      <c r="L42" s="50"/>
      <c r="M42" s="9">
        <v>1</v>
      </c>
      <c r="N42" s="52" t="s">
        <v>1071</v>
      </c>
      <c r="O42" s="52">
        <v>3865</v>
      </c>
      <c r="P42" s="52"/>
      <c r="Q42" s="52"/>
      <c r="R42" s="52"/>
      <c r="S42" s="52"/>
      <c r="T42" s="20" t="s">
        <v>1021</v>
      </c>
      <c r="U42" s="53">
        <v>45801</v>
      </c>
      <c r="V42" s="40"/>
    </row>
    <row r="43" customHeight="1" spans="1:22">
      <c r="A43" s="49"/>
      <c r="B43" s="49"/>
      <c r="C43" s="49"/>
      <c r="D43" s="50"/>
      <c r="E43" s="49"/>
      <c r="F43" s="49"/>
      <c r="G43" s="49"/>
      <c r="H43" s="49"/>
      <c r="I43" s="51"/>
      <c r="J43" s="51"/>
      <c r="K43" s="24"/>
      <c r="L43" s="50"/>
      <c r="M43" s="9">
        <v>1</v>
      </c>
      <c r="N43" s="9" t="s">
        <v>1072</v>
      </c>
      <c r="O43" s="9">
        <v>7665</v>
      </c>
      <c r="P43" s="9"/>
      <c r="Q43" s="9"/>
      <c r="R43" s="9"/>
      <c r="S43" s="9"/>
      <c r="T43" s="20" t="s">
        <v>1021</v>
      </c>
      <c r="U43" s="48">
        <v>45793</v>
      </c>
      <c r="V43" s="40"/>
    </row>
    <row r="44" customHeight="1" spans="1:22">
      <c r="A44" s="54"/>
      <c r="B44" s="54"/>
      <c r="C44" s="54"/>
      <c r="D44" s="55"/>
      <c r="E44" s="54"/>
      <c r="F44" s="54"/>
      <c r="G44" s="54"/>
      <c r="H44" s="54"/>
      <c r="I44" s="56"/>
      <c r="J44" s="56"/>
      <c r="K44" s="29"/>
      <c r="L44" s="55"/>
      <c r="M44" s="9">
        <v>1</v>
      </c>
      <c r="N44" s="52" t="s">
        <v>1073</v>
      </c>
      <c r="O44" s="52">
        <v>4086</v>
      </c>
      <c r="P44" s="52"/>
      <c r="Q44" s="52"/>
      <c r="R44" s="52"/>
      <c r="S44" s="52"/>
      <c r="T44" s="20" t="s">
        <v>1021</v>
      </c>
      <c r="U44" s="53">
        <v>45801</v>
      </c>
      <c r="V44" s="40"/>
    </row>
    <row r="45" customHeight="1" spans="1:22">
      <c r="A45" s="45">
        <v>11</v>
      </c>
      <c r="B45" s="45" t="s">
        <v>494</v>
      </c>
      <c r="C45" s="45" t="s">
        <v>1074</v>
      </c>
      <c r="D45" s="45" t="s">
        <v>1075</v>
      </c>
      <c r="E45" s="45" t="s">
        <v>233</v>
      </c>
      <c r="F45" s="45" t="s">
        <v>315</v>
      </c>
      <c r="G45" s="45" t="s">
        <v>497</v>
      </c>
      <c r="H45" s="45" t="s">
        <v>658</v>
      </c>
      <c r="I45" s="47">
        <v>45790</v>
      </c>
      <c r="J45" s="47">
        <v>45792</v>
      </c>
      <c r="K45" s="46">
        <v>3</v>
      </c>
      <c r="L45" s="46" t="s">
        <v>1068</v>
      </c>
      <c r="M45" s="9">
        <v>1</v>
      </c>
      <c r="N45" s="9" t="s">
        <v>1076</v>
      </c>
      <c r="O45" s="9">
        <v>7923</v>
      </c>
      <c r="P45" s="9"/>
      <c r="Q45" s="9"/>
      <c r="R45" s="9"/>
      <c r="S45" s="9"/>
      <c r="T45" s="20" t="s">
        <v>1021</v>
      </c>
      <c r="U45" s="48">
        <v>45793</v>
      </c>
      <c r="V45" s="40"/>
    </row>
    <row r="46" customHeight="1" spans="1:22">
      <c r="A46" s="54"/>
      <c r="B46" s="54"/>
      <c r="C46" s="54"/>
      <c r="D46" s="54"/>
      <c r="E46" s="54"/>
      <c r="F46" s="54"/>
      <c r="G46" s="54"/>
      <c r="H46" s="54"/>
      <c r="I46" s="56"/>
      <c r="J46" s="56"/>
      <c r="K46" s="55"/>
      <c r="L46" s="55"/>
      <c r="M46" s="9">
        <v>1</v>
      </c>
      <c r="N46" s="9" t="s">
        <v>1077</v>
      </c>
      <c r="O46" s="9">
        <v>8426</v>
      </c>
      <c r="P46" s="9"/>
      <c r="Q46" s="9"/>
      <c r="R46" s="9"/>
      <c r="S46" s="9"/>
      <c r="T46" s="20" t="s">
        <v>1021</v>
      </c>
      <c r="U46" s="48">
        <v>45793</v>
      </c>
      <c r="V46" s="40"/>
    </row>
    <row r="47" customHeight="1" spans="1:22">
      <c r="A47" s="45">
        <v>12</v>
      </c>
      <c r="B47" s="45" t="s">
        <v>585</v>
      </c>
      <c r="C47" s="45" t="s">
        <v>1078</v>
      </c>
      <c r="D47" s="45" t="s">
        <v>1079</v>
      </c>
      <c r="E47" s="45" t="s">
        <v>657</v>
      </c>
      <c r="F47" s="45" t="s">
        <v>501</v>
      </c>
      <c r="G47" s="45" t="s">
        <v>497</v>
      </c>
      <c r="H47" s="45" t="s">
        <v>646</v>
      </c>
      <c r="I47" s="47">
        <v>45777</v>
      </c>
      <c r="J47" s="47">
        <v>45797</v>
      </c>
      <c r="K47" s="46">
        <v>12</v>
      </c>
      <c r="L47" s="46"/>
      <c r="M47" s="9">
        <v>1</v>
      </c>
      <c r="N47" s="9" t="s">
        <v>1080</v>
      </c>
      <c r="O47" s="9">
        <v>12150</v>
      </c>
      <c r="P47" s="9"/>
      <c r="Q47" s="9"/>
      <c r="R47" s="9"/>
      <c r="S47" s="9"/>
      <c r="T47" s="20" t="s">
        <v>1021</v>
      </c>
      <c r="U47" s="48">
        <v>45797</v>
      </c>
      <c r="V47" s="40"/>
    </row>
    <row r="48" customHeight="1" spans="1:22">
      <c r="A48" s="49"/>
      <c r="B48" s="49"/>
      <c r="C48" s="49"/>
      <c r="D48" s="49"/>
      <c r="E48" s="49"/>
      <c r="F48" s="49"/>
      <c r="G48" s="49"/>
      <c r="H48" s="49"/>
      <c r="I48" s="51"/>
      <c r="J48" s="51"/>
      <c r="K48" s="50"/>
      <c r="L48" s="50"/>
      <c r="M48" s="9">
        <v>1</v>
      </c>
      <c r="N48" s="9" t="s">
        <v>1081</v>
      </c>
      <c r="O48" s="9">
        <v>12393</v>
      </c>
      <c r="P48" s="9"/>
      <c r="Q48" s="9"/>
      <c r="R48" s="9"/>
      <c r="S48" s="9"/>
      <c r="T48" s="20" t="s">
        <v>1021</v>
      </c>
      <c r="U48" s="48">
        <v>45797</v>
      </c>
      <c r="V48" s="40"/>
    </row>
    <row r="49" customHeight="1" spans="1:22">
      <c r="A49" s="49"/>
      <c r="B49" s="49"/>
      <c r="C49" s="49"/>
      <c r="D49" s="49"/>
      <c r="E49" s="49"/>
      <c r="F49" s="49"/>
      <c r="G49" s="49"/>
      <c r="H49" s="49"/>
      <c r="I49" s="51"/>
      <c r="J49" s="51"/>
      <c r="K49" s="50"/>
      <c r="L49" s="50"/>
      <c r="M49" s="9">
        <v>1</v>
      </c>
      <c r="N49" s="9" t="s">
        <v>1082</v>
      </c>
      <c r="O49" s="9">
        <v>12081</v>
      </c>
      <c r="P49" s="9"/>
      <c r="Q49" s="9"/>
      <c r="R49" s="9"/>
      <c r="S49" s="9"/>
      <c r="T49" s="20" t="s">
        <v>1021</v>
      </c>
      <c r="U49" s="48">
        <v>45797</v>
      </c>
      <c r="V49" s="40"/>
    </row>
    <row r="50" customHeight="1" spans="1:22">
      <c r="A50" s="49"/>
      <c r="B50" s="49"/>
      <c r="C50" s="49"/>
      <c r="D50" s="49"/>
      <c r="E50" s="49"/>
      <c r="F50" s="49"/>
      <c r="G50" s="49"/>
      <c r="H50" s="49"/>
      <c r="I50" s="51"/>
      <c r="J50" s="51"/>
      <c r="K50" s="50"/>
      <c r="L50" s="50"/>
      <c r="M50" s="9">
        <v>1</v>
      </c>
      <c r="N50" s="9" t="s">
        <v>1083</v>
      </c>
      <c r="O50" s="9">
        <v>11670</v>
      </c>
      <c r="P50" s="9"/>
      <c r="Q50" s="9"/>
      <c r="R50" s="9"/>
      <c r="S50" s="9"/>
      <c r="T50" s="20" t="s">
        <v>1021</v>
      </c>
      <c r="U50" s="48">
        <v>45797</v>
      </c>
      <c r="V50" s="40"/>
    </row>
    <row r="51" customHeight="1" spans="1:22">
      <c r="A51" s="49"/>
      <c r="B51" s="49"/>
      <c r="C51" s="49"/>
      <c r="D51" s="49"/>
      <c r="E51" s="49"/>
      <c r="F51" s="49"/>
      <c r="G51" s="49"/>
      <c r="H51" s="49"/>
      <c r="I51" s="51"/>
      <c r="J51" s="51"/>
      <c r="K51" s="50"/>
      <c r="L51" s="50"/>
      <c r="M51" s="9">
        <v>1</v>
      </c>
      <c r="N51" s="9" t="s">
        <v>1084</v>
      </c>
      <c r="O51" s="9">
        <v>9700</v>
      </c>
      <c r="P51" s="9"/>
      <c r="Q51" s="9"/>
      <c r="R51" s="9"/>
      <c r="S51" s="9"/>
      <c r="T51" s="20" t="s">
        <v>1021</v>
      </c>
      <c r="U51" s="48">
        <v>45797</v>
      </c>
      <c r="V51" s="40"/>
    </row>
    <row r="52" customHeight="1" spans="1:22">
      <c r="A52" s="49"/>
      <c r="B52" s="49"/>
      <c r="C52" s="49"/>
      <c r="D52" s="49"/>
      <c r="E52" s="49"/>
      <c r="F52" s="49"/>
      <c r="G52" s="49"/>
      <c r="H52" s="49"/>
      <c r="I52" s="51"/>
      <c r="J52" s="51"/>
      <c r="K52" s="50"/>
      <c r="L52" s="50"/>
      <c r="M52" s="9">
        <v>1</v>
      </c>
      <c r="N52" s="9" t="s">
        <v>1085</v>
      </c>
      <c r="O52" s="9">
        <v>12191</v>
      </c>
      <c r="P52" s="9"/>
      <c r="Q52" s="9"/>
      <c r="R52" s="9"/>
      <c r="S52" s="9"/>
      <c r="T52" s="20" t="s">
        <v>1021</v>
      </c>
      <c r="U52" s="48">
        <v>45797</v>
      </c>
      <c r="V52" s="40"/>
    </row>
    <row r="53" customHeight="1" spans="1:22">
      <c r="A53" s="49"/>
      <c r="B53" s="49"/>
      <c r="C53" s="49"/>
      <c r="D53" s="49"/>
      <c r="E53" s="49"/>
      <c r="F53" s="49"/>
      <c r="G53" s="49"/>
      <c r="H53" s="49"/>
      <c r="I53" s="51"/>
      <c r="J53" s="51"/>
      <c r="K53" s="50"/>
      <c r="L53" s="50"/>
      <c r="M53" s="9">
        <v>1</v>
      </c>
      <c r="N53" s="9" t="s">
        <v>1086</v>
      </c>
      <c r="O53" s="9">
        <v>11026</v>
      </c>
      <c r="P53" s="9"/>
      <c r="Q53" s="9"/>
      <c r="R53" s="9"/>
      <c r="S53" s="9"/>
      <c r="T53" s="20" t="s">
        <v>1021</v>
      </c>
      <c r="U53" s="48">
        <v>45797</v>
      </c>
      <c r="V53" s="40"/>
    </row>
    <row r="54" customHeight="1" spans="1:22">
      <c r="A54" s="54"/>
      <c r="B54" s="54"/>
      <c r="C54" s="54"/>
      <c r="D54" s="54"/>
      <c r="E54" s="54"/>
      <c r="F54" s="54"/>
      <c r="G54" s="54"/>
      <c r="H54" s="54"/>
      <c r="I54" s="56"/>
      <c r="J54" s="56"/>
      <c r="K54" s="55"/>
      <c r="L54" s="55"/>
      <c r="M54" s="9">
        <v>1</v>
      </c>
      <c r="N54" s="9" t="s">
        <v>1087</v>
      </c>
      <c r="O54" s="9">
        <v>5938</v>
      </c>
      <c r="P54" s="9"/>
      <c r="Q54" s="9"/>
      <c r="R54" s="9"/>
      <c r="S54" s="9"/>
      <c r="T54" s="20" t="s">
        <v>1021</v>
      </c>
      <c r="U54" s="48">
        <v>45797</v>
      </c>
      <c r="V54" s="40"/>
    </row>
    <row r="55" ht="66" customHeight="1" spans="1:22">
      <c r="A55" s="45">
        <v>13</v>
      </c>
      <c r="B55" s="45" t="s">
        <v>494</v>
      </c>
      <c r="C55" s="45" t="s">
        <v>1088</v>
      </c>
      <c r="D55" s="45" t="s">
        <v>713</v>
      </c>
      <c r="E55" s="45" t="s">
        <v>93</v>
      </c>
      <c r="F55" s="45" t="s">
        <v>98</v>
      </c>
      <c r="G55" s="45" t="s">
        <v>497</v>
      </c>
      <c r="H55" s="45" t="s">
        <v>682</v>
      </c>
      <c r="I55" s="48">
        <v>45803</v>
      </c>
      <c r="J55" s="48">
        <v>45806</v>
      </c>
      <c r="K55" s="9">
        <v>5</v>
      </c>
      <c r="L55" s="57" t="s">
        <v>1089</v>
      </c>
      <c r="M55" s="9">
        <v>1</v>
      </c>
      <c r="N55" s="9" t="s">
        <v>1090</v>
      </c>
      <c r="O55" s="9">
        <v>102</v>
      </c>
      <c r="P55" s="9"/>
      <c r="Q55" s="9"/>
      <c r="R55" s="9"/>
      <c r="S55" s="9"/>
      <c r="T55" s="20" t="s">
        <v>1021</v>
      </c>
      <c r="U55" s="48">
        <v>45806</v>
      </c>
      <c r="V55" s="40"/>
    </row>
    <row r="56" ht="63" customHeight="1" spans="1:22">
      <c r="A56" s="49"/>
      <c r="B56" s="49"/>
      <c r="C56" s="49"/>
      <c r="D56" s="49"/>
      <c r="E56" s="49"/>
      <c r="F56" s="49"/>
      <c r="G56" s="49"/>
      <c r="H56" s="49"/>
      <c r="I56" s="48">
        <v>45803</v>
      </c>
      <c r="J56" s="48">
        <v>45806</v>
      </c>
      <c r="K56" s="9">
        <v>5</v>
      </c>
      <c r="L56" s="57" t="s">
        <v>1089</v>
      </c>
      <c r="M56" s="9">
        <v>1</v>
      </c>
      <c r="N56" s="9" t="s">
        <v>1091</v>
      </c>
      <c r="O56" s="9">
        <v>164</v>
      </c>
      <c r="P56" s="9"/>
      <c r="Q56" s="9"/>
      <c r="R56" s="9"/>
      <c r="S56" s="9"/>
      <c r="T56" s="20" t="s">
        <v>1021</v>
      </c>
      <c r="U56" s="48">
        <v>45806</v>
      </c>
      <c r="V56" s="40"/>
    </row>
    <row r="57" ht="63" customHeight="1" spans="1:22">
      <c r="A57" s="49"/>
      <c r="B57" s="49"/>
      <c r="C57" s="49"/>
      <c r="D57" s="49"/>
      <c r="E57" s="49"/>
      <c r="F57" s="49"/>
      <c r="G57" s="49"/>
      <c r="H57" s="49"/>
      <c r="I57" s="48">
        <v>45803</v>
      </c>
      <c r="J57" s="48">
        <v>45810</v>
      </c>
      <c r="K57" s="9">
        <v>6</v>
      </c>
      <c r="L57" s="57" t="s">
        <v>1089</v>
      </c>
      <c r="M57" s="9">
        <v>1</v>
      </c>
      <c r="N57" s="9" t="s">
        <v>1092</v>
      </c>
      <c r="O57" s="9">
        <v>106</v>
      </c>
      <c r="P57" s="9"/>
      <c r="Q57" s="9"/>
      <c r="R57" s="9"/>
      <c r="S57" s="9"/>
      <c r="T57" s="20" t="s">
        <v>1021</v>
      </c>
      <c r="U57" s="58">
        <v>45810</v>
      </c>
      <c r="V57" s="40"/>
    </row>
    <row r="58" ht="63" customHeight="1" spans="1:22">
      <c r="A58" s="49"/>
      <c r="B58" s="49"/>
      <c r="C58" s="49"/>
      <c r="D58" s="49"/>
      <c r="E58" s="49"/>
      <c r="F58" s="49"/>
      <c r="G58" s="49"/>
      <c r="H58" s="49"/>
      <c r="I58" s="48">
        <v>45803</v>
      </c>
      <c r="J58" s="48">
        <v>45810</v>
      </c>
      <c r="K58" s="9">
        <v>6</v>
      </c>
      <c r="L58" s="57" t="s">
        <v>1089</v>
      </c>
      <c r="M58" s="9">
        <v>1</v>
      </c>
      <c r="N58" s="9" t="s">
        <v>1093</v>
      </c>
      <c r="O58" s="9">
        <v>120</v>
      </c>
      <c r="P58" s="9"/>
      <c r="Q58" s="9"/>
      <c r="R58" s="9"/>
      <c r="S58" s="9"/>
      <c r="T58" s="20" t="s">
        <v>1021</v>
      </c>
      <c r="U58" s="58">
        <v>45810</v>
      </c>
      <c r="V58" s="40"/>
    </row>
    <row r="59" ht="63" customHeight="1" spans="1:22">
      <c r="A59" s="49"/>
      <c r="B59" s="49"/>
      <c r="C59" s="49"/>
      <c r="D59" s="49"/>
      <c r="E59" s="49"/>
      <c r="F59" s="49"/>
      <c r="G59" s="49"/>
      <c r="H59" s="49"/>
      <c r="I59" s="48">
        <v>45803</v>
      </c>
      <c r="J59" s="48">
        <v>45810</v>
      </c>
      <c r="K59" s="9">
        <v>6</v>
      </c>
      <c r="L59" s="57" t="s">
        <v>1089</v>
      </c>
      <c r="M59" s="9">
        <v>1</v>
      </c>
      <c r="N59" s="9" t="s">
        <v>1094</v>
      </c>
      <c r="O59" s="9">
        <v>119</v>
      </c>
      <c r="P59" s="9"/>
      <c r="Q59" s="9"/>
      <c r="R59" s="9"/>
      <c r="S59" s="9"/>
      <c r="T59" s="20" t="s">
        <v>1021</v>
      </c>
      <c r="U59" s="58">
        <v>45810</v>
      </c>
      <c r="V59" s="40"/>
    </row>
    <row r="60" ht="63" customHeight="1" spans="1:22">
      <c r="A60" s="45">
        <v>14</v>
      </c>
      <c r="B60" s="45" t="s">
        <v>494</v>
      </c>
      <c r="C60" s="45" t="s">
        <v>1095</v>
      </c>
      <c r="D60" s="45" t="s">
        <v>711</v>
      </c>
      <c r="E60" s="45" t="s">
        <v>93</v>
      </c>
      <c r="F60" s="45" t="s">
        <v>98</v>
      </c>
      <c r="G60" s="45" t="s">
        <v>497</v>
      </c>
      <c r="H60" s="45" t="s">
        <v>682</v>
      </c>
      <c r="I60" s="48">
        <v>45803</v>
      </c>
      <c r="J60" s="48">
        <v>45806</v>
      </c>
      <c r="K60" s="9">
        <v>5</v>
      </c>
      <c r="L60" s="57" t="s">
        <v>1089</v>
      </c>
      <c r="M60" s="9">
        <v>1</v>
      </c>
      <c r="N60" s="9" t="s">
        <v>1096</v>
      </c>
      <c r="O60" s="9">
        <v>220</v>
      </c>
      <c r="P60" s="9"/>
      <c r="Q60" s="9"/>
      <c r="R60" s="9"/>
      <c r="S60" s="9"/>
      <c r="T60" s="20" t="s">
        <v>1021</v>
      </c>
      <c r="U60" s="48">
        <v>45806</v>
      </c>
      <c r="V60" s="40"/>
    </row>
    <row r="61" ht="63" customHeight="1" spans="1:22">
      <c r="A61" s="54"/>
      <c r="B61" s="54"/>
      <c r="C61" s="54"/>
      <c r="D61" s="54"/>
      <c r="E61" s="54"/>
      <c r="F61" s="54"/>
      <c r="G61" s="54"/>
      <c r="H61" s="54"/>
      <c r="I61" s="48">
        <v>45803</v>
      </c>
      <c r="J61" s="48">
        <v>45806</v>
      </c>
      <c r="K61" s="9">
        <v>5</v>
      </c>
      <c r="L61" s="57" t="s">
        <v>1089</v>
      </c>
      <c r="M61" s="9">
        <v>1</v>
      </c>
      <c r="N61" s="9" t="s">
        <v>1097</v>
      </c>
      <c r="O61" s="9">
        <v>108</v>
      </c>
      <c r="P61" s="9"/>
      <c r="Q61" s="9"/>
      <c r="R61" s="9"/>
      <c r="S61" s="9"/>
      <c r="T61" s="20" t="s">
        <v>1021</v>
      </c>
      <c r="U61" s="48">
        <v>45806</v>
      </c>
      <c r="V61" s="40"/>
    </row>
    <row r="62" ht="63" customHeight="1" spans="1:22">
      <c r="A62" s="45">
        <v>15</v>
      </c>
      <c r="B62" s="45" t="s">
        <v>494</v>
      </c>
      <c r="C62" s="45" t="s">
        <v>1098</v>
      </c>
      <c r="D62" s="45" t="s">
        <v>583</v>
      </c>
      <c r="E62" s="45" t="s">
        <v>93</v>
      </c>
      <c r="F62" s="45" t="s">
        <v>98</v>
      </c>
      <c r="G62" s="45" t="s">
        <v>497</v>
      </c>
      <c r="H62" s="45" t="s">
        <v>682</v>
      </c>
      <c r="I62" s="48">
        <v>45803</v>
      </c>
      <c r="J62" s="48">
        <v>45810</v>
      </c>
      <c r="K62" s="9">
        <v>6</v>
      </c>
      <c r="L62" s="57" t="s">
        <v>1089</v>
      </c>
      <c r="M62" s="9">
        <v>1</v>
      </c>
      <c r="N62" s="9" t="s">
        <v>1099</v>
      </c>
      <c r="O62" s="9">
        <v>153</v>
      </c>
      <c r="P62" s="9"/>
      <c r="Q62" s="9"/>
      <c r="R62" s="9"/>
      <c r="S62" s="9"/>
      <c r="T62" s="20" t="s">
        <v>1021</v>
      </c>
      <c r="U62" s="53">
        <v>45810</v>
      </c>
      <c r="V62" s="40"/>
    </row>
    <row r="63" ht="63" customHeight="1" spans="1:22">
      <c r="A63" s="49"/>
      <c r="B63" s="49"/>
      <c r="C63" s="49"/>
      <c r="D63" s="49"/>
      <c r="E63" s="49"/>
      <c r="F63" s="49"/>
      <c r="G63" s="49"/>
      <c r="H63" s="49"/>
      <c r="I63" s="48">
        <v>45803</v>
      </c>
      <c r="J63" s="48">
        <v>45810</v>
      </c>
      <c r="K63" s="9">
        <v>6</v>
      </c>
      <c r="L63" s="57" t="s">
        <v>1089</v>
      </c>
      <c r="M63" s="9">
        <v>1</v>
      </c>
      <c r="N63" s="9" t="s">
        <v>1100</v>
      </c>
      <c r="O63" s="9">
        <v>123</v>
      </c>
      <c r="P63" s="9"/>
      <c r="Q63" s="9"/>
      <c r="R63" s="9"/>
      <c r="S63" s="9"/>
      <c r="T63" s="20" t="s">
        <v>1021</v>
      </c>
      <c r="U63" s="53">
        <v>45810</v>
      </c>
      <c r="V63" s="40"/>
    </row>
    <row r="64" ht="63" customHeight="1" spans="1:22">
      <c r="A64" s="54"/>
      <c r="B64" s="54"/>
      <c r="C64" s="54"/>
      <c r="D64" s="54"/>
      <c r="E64" s="54"/>
      <c r="F64" s="54"/>
      <c r="G64" s="54"/>
      <c r="H64" s="54"/>
      <c r="I64" s="48">
        <v>45803</v>
      </c>
      <c r="J64" s="48">
        <v>45810</v>
      </c>
      <c r="K64" s="9">
        <v>6</v>
      </c>
      <c r="L64" s="57" t="s">
        <v>1089</v>
      </c>
      <c r="M64" s="9">
        <v>1</v>
      </c>
      <c r="N64" s="9" t="s">
        <v>1101</v>
      </c>
      <c r="O64" s="9">
        <v>108</v>
      </c>
      <c r="P64" s="9"/>
      <c r="Q64" s="9"/>
      <c r="R64" s="9"/>
      <c r="S64" s="9"/>
      <c r="T64" s="20" t="s">
        <v>1021</v>
      </c>
      <c r="U64" s="53">
        <v>45810</v>
      </c>
      <c r="V64" s="40"/>
    </row>
    <row r="65" ht="44" customHeight="1" spans="1:22">
      <c r="A65" s="45">
        <v>16</v>
      </c>
      <c r="B65" s="45" t="s">
        <v>494</v>
      </c>
      <c r="C65" s="45" t="s">
        <v>1102</v>
      </c>
      <c r="D65" s="45" t="s">
        <v>1103</v>
      </c>
      <c r="E65" s="45" t="s">
        <v>43</v>
      </c>
      <c r="F65" s="45" t="s">
        <v>315</v>
      </c>
      <c r="G65" s="45" t="s">
        <v>497</v>
      </c>
      <c r="H65" s="46" t="s">
        <v>1104</v>
      </c>
      <c r="I65" s="47">
        <v>45772</v>
      </c>
      <c r="J65" s="47">
        <v>45821</v>
      </c>
      <c r="K65" s="46">
        <v>37</v>
      </c>
      <c r="L65" s="59" t="s">
        <v>1105</v>
      </c>
      <c r="M65" s="9">
        <v>1</v>
      </c>
      <c r="N65" s="9" t="s">
        <v>1106</v>
      </c>
      <c r="O65" s="9">
        <v>374</v>
      </c>
      <c r="P65" s="9"/>
      <c r="Q65" s="9"/>
      <c r="R65" s="9"/>
      <c r="S65" s="9"/>
      <c r="T65" s="9" t="s">
        <v>1021</v>
      </c>
      <c r="U65" s="53">
        <v>45821</v>
      </c>
      <c r="V65" s="40"/>
    </row>
    <row r="66" ht="44" customHeight="1" spans="1:22">
      <c r="A66" s="49"/>
      <c r="B66" s="49"/>
      <c r="C66" s="49"/>
      <c r="D66" s="49"/>
      <c r="E66" s="49"/>
      <c r="F66" s="49"/>
      <c r="G66" s="49"/>
      <c r="H66" s="50"/>
      <c r="I66" s="49"/>
      <c r="J66" s="49"/>
      <c r="K66" s="50"/>
      <c r="L66" s="57" t="s">
        <v>1105</v>
      </c>
      <c r="M66" s="9">
        <v>1</v>
      </c>
      <c r="N66" s="9" t="s">
        <v>1107</v>
      </c>
      <c r="O66" s="9"/>
      <c r="P66" s="9"/>
      <c r="Q66" s="9"/>
      <c r="R66" s="9"/>
      <c r="S66" s="9"/>
      <c r="T66" s="9" t="s">
        <v>1021</v>
      </c>
      <c r="U66" s="58">
        <v>45815</v>
      </c>
      <c r="V66" s="40"/>
    </row>
    <row r="67" ht="44" customHeight="1" spans="1:22">
      <c r="A67" s="54"/>
      <c r="B67" s="54"/>
      <c r="C67" s="54"/>
      <c r="D67" s="54"/>
      <c r="E67" s="54"/>
      <c r="F67" s="54"/>
      <c r="G67" s="54"/>
      <c r="H67" s="55"/>
      <c r="I67" s="54"/>
      <c r="J67" s="54"/>
      <c r="K67" s="55"/>
      <c r="L67" s="57" t="s">
        <v>1105</v>
      </c>
      <c r="M67" s="9">
        <v>1</v>
      </c>
      <c r="N67" s="9" t="s">
        <v>1108</v>
      </c>
      <c r="O67" s="9"/>
      <c r="P67" s="9"/>
      <c r="Q67" s="9"/>
      <c r="R67" s="9"/>
      <c r="S67" s="9"/>
      <c r="T67" s="9" t="s">
        <v>1021</v>
      </c>
      <c r="U67" s="58">
        <v>45815</v>
      </c>
      <c r="V67" s="40"/>
    </row>
    <row r="68" ht="65" customHeight="1" spans="1:22">
      <c r="A68" s="45">
        <v>17</v>
      </c>
      <c r="B68" s="45" t="s">
        <v>494</v>
      </c>
      <c r="C68" s="45" t="s">
        <v>1109</v>
      </c>
      <c r="D68" s="45" t="s">
        <v>716</v>
      </c>
      <c r="E68" s="45" t="s">
        <v>701</v>
      </c>
      <c r="F68" s="45" t="s">
        <v>242</v>
      </c>
      <c r="G68" s="45" t="s">
        <v>1110</v>
      </c>
      <c r="H68" s="45" t="s">
        <v>698</v>
      </c>
      <c r="I68" s="47">
        <v>45811</v>
      </c>
      <c r="J68" s="47">
        <v>45815</v>
      </c>
      <c r="K68" s="46">
        <v>5</v>
      </c>
      <c r="L68" s="57" t="s">
        <v>1111</v>
      </c>
      <c r="M68" s="9">
        <v>1</v>
      </c>
      <c r="N68" s="9" t="s">
        <v>1112</v>
      </c>
      <c r="O68" s="9"/>
      <c r="P68" s="9"/>
      <c r="Q68" s="9"/>
      <c r="R68" s="9"/>
      <c r="S68" s="9"/>
      <c r="T68" s="9" t="s">
        <v>1021</v>
      </c>
      <c r="U68" s="58">
        <v>45815</v>
      </c>
      <c r="V68" s="40"/>
    </row>
    <row r="69" ht="73" customHeight="1" spans="1:22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50"/>
      <c r="L69" s="57" t="s">
        <v>1111</v>
      </c>
      <c r="M69" s="9">
        <v>1</v>
      </c>
      <c r="N69" s="9" t="s">
        <v>1113</v>
      </c>
      <c r="O69" s="9"/>
      <c r="P69" s="9"/>
      <c r="Q69" s="9"/>
      <c r="R69" s="9"/>
      <c r="S69" s="9"/>
      <c r="T69" s="9" t="s">
        <v>1021</v>
      </c>
      <c r="U69" s="58">
        <v>45815</v>
      </c>
      <c r="V69" s="40"/>
    </row>
    <row r="70" ht="73" customHeight="1" spans="1:22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50"/>
      <c r="L70" s="57" t="s">
        <v>1111</v>
      </c>
      <c r="M70" s="9">
        <v>1</v>
      </c>
      <c r="N70" s="9" t="s">
        <v>1114</v>
      </c>
      <c r="O70" s="9"/>
      <c r="P70" s="9"/>
      <c r="Q70" s="9"/>
      <c r="R70" s="9"/>
      <c r="S70" s="9"/>
      <c r="T70" s="9" t="s">
        <v>1021</v>
      </c>
      <c r="U70" s="58">
        <v>45815</v>
      </c>
      <c r="V70" s="40"/>
    </row>
    <row r="71" ht="73" customHeight="1" spans="1:22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50"/>
      <c r="L71" s="57" t="s">
        <v>1111</v>
      </c>
      <c r="M71" s="9">
        <v>1</v>
      </c>
      <c r="N71" s="9" t="s">
        <v>1115</v>
      </c>
      <c r="O71" s="9"/>
      <c r="P71" s="9"/>
      <c r="Q71" s="9"/>
      <c r="R71" s="9"/>
      <c r="S71" s="9"/>
      <c r="T71" s="9" t="s">
        <v>1021</v>
      </c>
      <c r="U71" s="58">
        <v>45815</v>
      </c>
      <c r="V71" s="40"/>
    </row>
    <row r="72" ht="73" customHeight="1" spans="1:2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5"/>
      <c r="L72" s="57" t="s">
        <v>1111</v>
      </c>
      <c r="M72" s="9">
        <v>1</v>
      </c>
      <c r="N72" s="9" t="s">
        <v>1116</v>
      </c>
      <c r="O72" s="9"/>
      <c r="P72" s="9"/>
      <c r="Q72" s="9"/>
      <c r="R72" s="9"/>
      <c r="S72" s="9"/>
      <c r="T72" s="9" t="s">
        <v>1021</v>
      </c>
      <c r="U72" s="58">
        <v>45815</v>
      </c>
      <c r="V72" s="40"/>
    </row>
    <row r="73" ht="47" customHeight="1" spans="1:22">
      <c r="A73" s="40">
        <v>18</v>
      </c>
      <c r="B73" s="45" t="s">
        <v>494</v>
      </c>
      <c r="C73" s="45" t="s">
        <v>934</v>
      </c>
      <c r="D73" s="45" t="s">
        <v>654</v>
      </c>
      <c r="E73" s="45" t="s">
        <v>233</v>
      </c>
      <c r="F73" s="45" t="s">
        <v>315</v>
      </c>
      <c r="G73" s="45" t="s">
        <v>497</v>
      </c>
      <c r="H73" s="45" t="s">
        <v>682</v>
      </c>
      <c r="I73" s="47">
        <v>45783</v>
      </c>
      <c r="J73" s="47">
        <v>45828</v>
      </c>
      <c r="K73" s="46">
        <v>40</v>
      </c>
      <c r="L73" s="59" t="s">
        <v>1117</v>
      </c>
      <c r="M73" s="46">
        <v>1</v>
      </c>
      <c r="N73" s="46" t="s">
        <v>1118</v>
      </c>
      <c r="O73" s="46">
        <v>4389</v>
      </c>
      <c r="P73" s="46"/>
      <c r="Q73" s="46"/>
      <c r="R73" s="46"/>
      <c r="S73" s="9"/>
      <c r="T73" s="9" t="s">
        <v>1021</v>
      </c>
      <c r="U73" s="58">
        <v>45815</v>
      </c>
      <c r="V73" s="40"/>
    </row>
    <row r="74" ht="58" customHeight="1" spans="1:22">
      <c r="A74" s="40"/>
      <c r="B74" s="40"/>
      <c r="C74" s="40"/>
      <c r="D74" s="40"/>
      <c r="E74" s="40"/>
      <c r="F74" s="40"/>
      <c r="G74" s="40"/>
      <c r="H74" s="40"/>
      <c r="I74" s="40"/>
      <c r="J74" s="48"/>
      <c r="K74" s="9"/>
      <c r="L74" s="59" t="s">
        <v>1117</v>
      </c>
      <c r="M74" s="9">
        <v>1</v>
      </c>
      <c r="N74" s="9" t="s">
        <v>1119</v>
      </c>
      <c r="O74" s="9">
        <v>6536</v>
      </c>
      <c r="P74" s="9"/>
      <c r="Q74" s="9"/>
      <c r="R74" s="9"/>
      <c r="S74" s="9"/>
      <c r="T74" s="9" t="s">
        <v>1021</v>
      </c>
      <c r="U74" s="53">
        <v>45821</v>
      </c>
      <c r="V74" s="40"/>
    </row>
    <row r="75" ht="54" customHeight="1" spans="1:22">
      <c r="A75" s="40"/>
      <c r="B75" s="54"/>
      <c r="C75" s="49"/>
      <c r="D75" s="49"/>
      <c r="E75" s="49"/>
      <c r="F75" s="49"/>
      <c r="G75" s="49"/>
      <c r="H75" s="49"/>
      <c r="I75" s="49"/>
      <c r="J75" s="51"/>
      <c r="K75" s="50"/>
      <c r="L75" s="59" t="s">
        <v>1117</v>
      </c>
      <c r="M75" s="55">
        <v>1</v>
      </c>
      <c r="N75" s="55" t="s">
        <v>1120</v>
      </c>
      <c r="O75" s="55">
        <v>4120</v>
      </c>
      <c r="P75" s="55"/>
      <c r="Q75" s="55"/>
      <c r="R75" s="55"/>
      <c r="S75" s="9"/>
      <c r="T75" s="9" t="s">
        <v>1021</v>
      </c>
      <c r="U75" s="53">
        <v>45815</v>
      </c>
      <c r="V75" s="40"/>
    </row>
    <row r="76" ht="54" customHeight="1" spans="1:22">
      <c r="A76" s="40"/>
      <c r="B76" s="40"/>
      <c r="C76" s="49"/>
      <c r="D76" s="49"/>
      <c r="E76" s="49"/>
      <c r="F76" s="49"/>
      <c r="G76" s="49"/>
      <c r="H76" s="49"/>
      <c r="I76" s="49"/>
      <c r="J76" s="51"/>
      <c r="K76" s="50"/>
      <c r="L76" s="59" t="s">
        <v>1117</v>
      </c>
      <c r="M76" s="9">
        <v>1</v>
      </c>
      <c r="N76" s="9" t="s">
        <v>1121</v>
      </c>
      <c r="O76" s="9">
        <v>5627</v>
      </c>
      <c r="P76" s="9"/>
      <c r="Q76" s="9"/>
      <c r="R76" s="9"/>
      <c r="S76" s="9"/>
      <c r="T76" s="9" t="s">
        <v>1021</v>
      </c>
      <c r="U76" s="53">
        <v>45815</v>
      </c>
      <c r="V76" s="40"/>
    </row>
    <row r="77" ht="59" customHeight="1" spans="1:22">
      <c r="A77" s="40"/>
      <c r="B77" s="40"/>
      <c r="C77" s="49"/>
      <c r="D77" s="49"/>
      <c r="E77" s="49"/>
      <c r="F77" s="49"/>
      <c r="G77" s="49"/>
      <c r="H77" s="49"/>
      <c r="I77" s="49"/>
      <c r="J77" s="51"/>
      <c r="K77" s="50"/>
      <c r="L77" s="59" t="s">
        <v>1117</v>
      </c>
      <c r="M77" s="9">
        <v>1</v>
      </c>
      <c r="N77" s="9" t="s">
        <v>1122</v>
      </c>
      <c r="O77" s="9">
        <v>7967</v>
      </c>
      <c r="P77" s="9"/>
      <c r="Q77" s="9"/>
      <c r="R77" s="9"/>
      <c r="S77" s="9"/>
      <c r="T77" s="9" t="s">
        <v>1021</v>
      </c>
      <c r="U77" s="53">
        <v>45834</v>
      </c>
      <c r="V77" s="40"/>
    </row>
    <row r="78" ht="58" customHeight="1" spans="1:22">
      <c r="A78" s="40"/>
      <c r="B78" s="40"/>
      <c r="C78" s="49"/>
      <c r="D78" s="49"/>
      <c r="E78" s="49"/>
      <c r="F78" s="49"/>
      <c r="G78" s="49"/>
      <c r="H78" s="49"/>
      <c r="I78" s="49"/>
      <c r="J78" s="51"/>
      <c r="K78" s="50"/>
      <c r="L78" s="59" t="s">
        <v>1117</v>
      </c>
      <c r="M78" s="9">
        <v>1</v>
      </c>
      <c r="N78" s="9" t="s">
        <v>1123</v>
      </c>
      <c r="O78" s="9">
        <v>11339</v>
      </c>
      <c r="P78" s="9">
        <v>2</v>
      </c>
      <c r="Q78" s="9">
        <v>2</v>
      </c>
      <c r="R78" s="9">
        <v>0</v>
      </c>
      <c r="S78" s="9"/>
      <c r="T78" s="9" t="s">
        <v>1021</v>
      </c>
      <c r="U78" s="53">
        <v>45828</v>
      </c>
      <c r="V78" s="40"/>
    </row>
    <row r="79" ht="57" customHeight="1" spans="1:22">
      <c r="A79" s="40"/>
      <c r="B79" s="40"/>
      <c r="C79" s="49"/>
      <c r="D79" s="49"/>
      <c r="E79" s="49"/>
      <c r="F79" s="49"/>
      <c r="G79" s="49"/>
      <c r="H79" s="49"/>
      <c r="I79" s="49"/>
      <c r="J79" s="51"/>
      <c r="K79" s="50"/>
      <c r="L79" s="59" t="s">
        <v>1117</v>
      </c>
      <c r="M79" s="9">
        <v>1</v>
      </c>
      <c r="N79" s="9" t="s">
        <v>1124</v>
      </c>
      <c r="O79" s="9">
        <v>5362</v>
      </c>
      <c r="P79" s="9"/>
      <c r="Q79" s="9"/>
      <c r="R79" s="9"/>
      <c r="S79" s="9"/>
      <c r="T79" s="9" t="s">
        <v>1021</v>
      </c>
      <c r="U79" s="53">
        <v>45815</v>
      </c>
      <c r="V79" s="40"/>
    </row>
    <row r="80" ht="57" customHeight="1" spans="1:22">
      <c r="A80" s="40"/>
      <c r="B80" s="40"/>
      <c r="C80" s="54"/>
      <c r="D80" s="54"/>
      <c r="E80" s="54"/>
      <c r="F80" s="54"/>
      <c r="G80" s="54"/>
      <c r="H80" s="54"/>
      <c r="I80" s="54"/>
      <c r="J80" s="56"/>
      <c r="K80" s="55"/>
      <c r="L80" s="59" t="s">
        <v>1117</v>
      </c>
      <c r="M80" s="9">
        <v>1</v>
      </c>
      <c r="N80" s="9" t="s">
        <v>1125</v>
      </c>
      <c r="O80" s="9">
        <v>8120</v>
      </c>
      <c r="P80" s="9"/>
      <c r="Q80" s="9"/>
      <c r="R80" s="9"/>
      <c r="S80" s="9"/>
      <c r="T80" s="9" t="s">
        <v>1021</v>
      </c>
      <c r="U80" s="53">
        <v>45815</v>
      </c>
      <c r="V80" s="40"/>
    </row>
    <row r="81" customHeight="1" spans="1:22">
      <c r="A81" s="45">
        <v>19</v>
      </c>
      <c r="B81" s="45" t="s">
        <v>494</v>
      </c>
      <c r="C81" s="45" t="s">
        <v>1126</v>
      </c>
      <c r="D81" s="45" t="s">
        <v>714</v>
      </c>
      <c r="E81" s="45" t="s">
        <v>43</v>
      </c>
      <c r="F81" s="45" t="s">
        <v>830</v>
      </c>
      <c r="G81" s="45" t="s">
        <v>497</v>
      </c>
      <c r="H81" s="45" t="s">
        <v>682</v>
      </c>
      <c r="I81" s="47">
        <v>45827</v>
      </c>
      <c r="J81" s="45"/>
      <c r="K81" s="46"/>
      <c r="L81" s="9"/>
      <c r="M81" s="9">
        <v>1</v>
      </c>
      <c r="N81" s="9"/>
      <c r="O81" s="9"/>
      <c r="P81" s="9"/>
      <c r="Q81" s="9"/>
      <c r="R81" s="9"/>
      <c r="S81" s="9"/>
      <c r="T81" s="9"/>
      <c r="U81" s="40"/>
      <c r="V81" s="40"/>
    </row>
    <row r="82" customHeight="1" spans="1:22">
      <c r="A82" s="49"/>
      <c r="B82" s="49"/>
      <c r="C82" s="49"/>
      <c r="D82" s="49"/>
      <c r="E82" s="49"/>
      <c r="F82" s="49"/>
      <c r="G82" s="49"/>
      <c r="H82" s="49"/>
      <c r="I82" s="51"/>
      <c r="J82" s="49"/>
      <c r="K82" s="50"/>
      <c r="L82" s="9"/>
      <c r="M82" s="9">
        <v>1</v>
      </c>
      <c r="N82" s="9"/>
      <c r="O82" s="9"/>
      <c r="P82" s="9"/>
      <c r="Q82" s="9"/>
      <c r="R82" s="9"/>
      <c r="S82" s="9"/>
      <c r="T82" s="9"/>
      <c r="U82" s="40"/>
      <c r="V82" s="40"/>
    </row>
    <row r="83" customHeight="1" spans="1:22">
      <c r="A83" s="49"/>
      <c r="B83" s="49"/>
      <c r="C83" s="49"/>
      <c r="D83" s="49"/>
      <c r="E83" s="49"/>
      <c r="F83" s="49"/>
      <c r="G83" s="49"/>
      <c r="H83" s="49"/>
      <c r="I83" s="51"/>
      <c r="J83" s="49"/>
      <c r="K83" s="50"/>
      <c r="L83" s="9"/>
      <c r="M83" s="9">
        <v>1</v>
      </c>
      <c r="N83" s="9"/>
      <c r="O83" s="9"/>
      <c r="P83" s="9"/>
      <c r="Q83" s="9"/>
      <c r="R83" s="9"/>
      <c r="S83" s="9"/>
      <c r="T83" s="9"/>
      <c r="U83" s="40"/>
      <c r="V83" s="40"/>
    </row>
    <row r="84" customHeight="1" spans="1:22">
      <c r="A84" s="49"/>
      <c r="B84" s="49"/>
      <c r="C84" s="49"/>
      <c r="D84" s="49"/>
      <c r="E84" s="49"/>
      <c r="F84" s="49"/>
      <c r="G84" s="49"/>
      <c r="H84" s="49"/>
      <c r="I84" s="51"/>
      <c r="J84" s="49"/>
      <c r="K84" s="50"/>
      <c r="L84" s="9"/>
      <c r="M84" s="9">
        <v>1</v>
      </c>
      <c r="N84" s="9"/>
      <c r="O84" s="9"/>
      <c r="P84" s="9"/>
      <c r="Q84" s="9"/>
      <c r="R84" s="9"/>
      <c r="S84" s="9"/>
      <c r="T84" s="9"/>
      <c r="U84" s="40"/>
      <c r="V84" s="40"/>
    </row>
    <row r="85" customHeight="1" spans="1:22">
      <c r="A85" s="54"/>
      <c r="B85" s="54"/>
      <c r="C85" s="54"/>
      <c r="D85" s="54"/>
      <c r="E85" s="54"/>
      <c r="F85" s="54"/>
      <c r="G85" s="54"/>
      <c r="H85" s="54"/>
      <c r="I85" s="56"/>
      <c r="J85" s="54"/>
      <c r="K85" s="55"/>
      <c r="L85" s="9"/>
      <c r="M85" s="9">
        <v>1</v>
      </c>
      <c r="N85" s="9"/>
      <c r="O85" s="9"/>
      <c r="P85" s="9"/>
      <c r="Q85" s="9"/>
      <c r="R85" s="9"/>
      <c r="S85" s="9"/>
      <c r="T85" s="9"/>
      <c r="U85" s="40"/>
      <c r="V85" s="40"/>
    </row>
    <row r="86" ht="38" customHeight="1" spans="1:22">
      <c r="A86" s="40">
        <v>20</v>
      </c>
      <c r="B86" s="40" t="s">
        <v>494</v>
      </c>
      <c r="C86" s="40" t="s">
        <v>1066</v>
      </c>
      <c r="D86" s="40" t="s">
        <v>686</v>
      </c>
      <c r="E86" s="40" t="s">
        <v>233</v>
      </c>
      <c r="F86" s="40" t="s">
        <v>830</v>
      </c>
      <c r="G86" s="40" t="s">
        <v>497</v>
      </c>
      <c r="H86" s="40" t="s">
        <v>682</v>
      </c>
      <c r="I86" s="60">
        <v>45834</v>
      </c>
      <c r="J86" s="60">
        <v>45841</v>
      </c>
      <c r="K86" s="9">
        <v>6</v>
      </c>
      <c r="L86" s="57" t="s">
        <v>1127</v>
      </c>
      <c r="M86" s="9">
        <v>1</v>
      </c>
      <c r="N86" s="9" t="s">
        <v>1128</v>
      </c>
      <c r="O86" s="9">
        <v>7041</v>
      </c>
      <c r="P86" s="9"/>
      <c r="Q86" s="9"/>
      <c r="R86" s="9"/>
      <c r="S86" s="9"/>
      <c r="T86" s="9" t="s">
        <v>1021</v>
      </c>
      <c r="U86" s="53">
        <v>45842</v>
      </c>
      <c r="V86" s="40"/>
    </row>
    <row r="87" ht="38" customHeight="1" spans="1:22">
      <c r="A87" s="40"/>
      <c r="B87" s="61"/>
      <c r="C87" s="49"/>
      <c r="D87" s="49"/>
      <c r="E87" s="49"/>
      <c r="F87" s="49"/>
      <c r="G87" s="49"/>
      <c r="H87" s="54" t="s">
        <v>687</v>
      </c>
      <c r="I87" s="48">
        <v>45831</v>
      </c>
      <c r="J87" s="51">
        <v>45834</v>
      </c>
      <c r="K87" s="50">
        <v>4</v>
      </c>
      <c r="L87" s="57" t="s">
        <v>1127</v>
      </c>
      <c r="M87" s="9">
        <v>1</v>
      </c>
      <c r="N87" s="9" t="s">
        <v>1129</v>
      </c>
      <c r="O87" s="9">
        <v>6551</v>
      </c>
      <c r="P87" s="9"/>
      <c r="Q87" s="9"/>
      <c r="R87" s="9"/>
      <c r="S87" s="9"/>
      <c r="T87" s="9" t="s">
        <v>1021</v>
      </c>
      <c r="U87" s="53">
        <v>45834</v>
      </c>
      <c r="V87" s="40"/>
    </row>
    <row r="88" ht="38" customHeight="1" spans="1:22">
      <c r="A88" s="40"/>
      <c r="B88" s="61"/>
      <c r="C88" s="49"/>
      <c r="D88" s="49"/>
      <c r="E88" s="49"/>
      <c r="F88" s="49"/>
      <c r="G88" s="49"/>
      <c r="H88" s="40"/>
      <c r="I88" s="48"/>
      <c r="J88" s="51"/>
      <c r="K88" s="50"/>
      <c r="L88" s="57" t="s">
        <v>1127</v>
      </c>
      <c r="M88" s="9">
        <v>1</v>
      </c>
      <c r="N88" s="9" t="s">
        <v>1130</v>
      </c>
      <c r="O88" s="9">
        <v>5435</v>
      </c>
      <c r="P88" s="9"/>
      <c r="Q88" s="9"/>
      <c r="R88" s="9"/>
      <c r="S88" s="9"/>
      <c r="T88" s="9" t="s">
        <v>1021</v>
      </c>
      <c r="U88" s="53">
        <v>45834</v>
      </c>
      <c r="V88" s="40"/>
    </row>
    <row r="89" ht="38" customHeight="1" spans="1:22">
      <c r="A89" s="40"/>
      <c r="B89" s="61"/>
      <c r="C89" s="49"/>
      <c r="D89" s="49"/>
      <c r="E89" s="49"/>
      <c r="F89" s="49"/>
      <c r="G89" s="49"/>
      <c r="H89" s="40"/>
      <c r="I89" s="48"/>
      <c r="J89" s="51"/>
      <c r="K89" s="50"/>
      <c r="L89" s="57" t="s">
        <v>1127</v>
      </c>
      <c r="M89" s="9">
        <v>1</v>
      </c>
      <c r="N89" s="9" t="s">
        <v>1131</v>
      </c>
      <c r="O89" s="9">
        <v>6625</v>
      </c>
      <c r="P89" s="9"/>
      <c r="Q89" s="9"/>
      <c r="R89" s="9"/>
      <c r="S89" s="9"/>
      <c r="T89" s="9" t="s">
        <v>1021</v>
      </c>
      <c r="U89" s="53">
        <v>45834</v>
      </c>
      <c r="V89" s="40"/>
    </row>
    <row r="90" ht="38" customHeight="1" spans="1:22">
      <c r="A90" s="40"/>
      <c r="B90" s="61"/>
      <c r="C90" s="49"/>
      <c r="D90" s="49"/>
      <c r="E90" s="49"/>
      <c r="F90" s="49"/>
      <c r="G90" s="49"/>
      <c r="H90" s="45"/>
      <c r="I90" s="48"/>
      <c r="J90" s="56"/>
      <c r="K90" s="55"/>
      <c r="L90" s="57" t="s">
        <v>1127</v>
      </c>
      <c r="M90" s="9">
        <v>1</v>
      </c>
      <c r="N90" s="9" t="s">
        <v>1132</v>
      </c>
      <c r="O90" s="9">
        <v>4729</v>
      </c>
      <c r="P90" s="9"/>
      <c r="Q90" s="9"/>
      <c r="R90" s="9"/>
      <c r="S90" s="9"/>
      <c r="T90" s="9" t="s">
        <v>1021</v>
      </c>
      <c r="U90" s="53">
        <v>45834</v>
      </c>
      <c r="V90" s="40"/>
    </row>
    <row r="91" ht="38" customHeight="1" spans="1:22">
      <c r="A91" s="40"/>
      <c r="B91" s="40"/>
      <c r="C91" s="40"/>
      <c r="D91" s="40"/>
      <c r="E91" s="40"/>
      <c r="F91" s="40"/>
      <c r="G91" s="40"/>
      <c r="H91" s="40" t="s">
        <v>682</v>
      </c>
      <c r="I91" s="62">
        <v>45834</v>
      </c>
      <c r="J91" s="60">
        <v>45841</v>
      </c>
      <c r="K91" s="9">
        <v>6</v>
      </c>
      <c r="L91" s="57" t="s">
        <v>1127</v>
      </c>
      <c r="M91" s="9">
        <v>1</v>
      </c>
      <c r="N91" s="9" t="s">
        <v>1133</v>
      </c>
      <c r="O91" s="9">
        <v>7258</v>
      </c>
      <c r="P91" s="9"/>
      <c r="Q91" s="9"/>
      <c r="R91" s="9"/>
      <c r="S91" s="9"/>
      <c r="T91" s="9" t="s">
        <v>1021</v>
      </c>
      <c r="U91" s="53">
        <v>45842</v>
      </c>
      <c r="V91" s="40"/>
    </row>
    <row r="92" ht="38" customHeight="1" spans="1:22">
      <c r="A92" s="40"/>
      <c r="B92" s="40"/>
      <c r="C92" s="40"/>
      <c r="D92" s="40"/>
      <c r="E92" s="40"/>
      <c r="F92" s="40"/>
      <c r="G92" s="40"/>
      <c r="H92" s="40" t="s">
        <v>682</v>
      </c>
      <c r="I92" s="62">
        <v>45834</v>
      </c>
      <c r="J92" s="60">
        <v>45841</v>
      </c>
      <c r="K92" s="9">
        <v>6</v>
      </c>
      <c r="L92" s="57" t="s">
        <v>1127</v>
      </c>
      <c r="M92" s="9">
        <v>1</v>
      </c>
      <c r="N92" s="9" t="s">
        <v>1134</v>
      </c>
      <c r="O92" s="9">
        <v>7205</v>
      </c>
      <c r="P92" s="9"/>
      <c r="Q92" s="9"/>
      <c r="R92" s="9"/>
      <c r="S92" s="9"/>
      <c r="T92" s="9" t="s">
        <v>1021</v>
      </c>
      <c r="U92" s="53">
        <v>45842</v>
      </c>
      <c r="V92" s="40"/>
    </row>
    <row r="93" ht="38" customHeight="1" spans="1:22">
      <c r="A93" s="40"/>
      <c r="B93" s="63"/>
      <c r="C93" s="54"/>
      <c r="D93" s="54"/>
      <c r="E93" s="54"/>
      <c r="F93" s="54"/>
      <c r="G93" s="54"/>
      <c r="H93" s="54" t="s">
        <v>687</v>
      </c>
      <c r="I93" s="48">
        <v>45831</v>
      </c>
      <c r="J93" s="48">
        <v>45834</v>
      </c>
      <c r="K93" s="9">
        <v>4</v>
      </c>
      <c r="L93" s="57" t="s">
        <v>1127</v>
      </c>
      <c r="M93" s="9">
        <v>1</v>
      </c>
      <c r="N93" s="9" t="s">
        <v>1135</v>
      </c>
      <c r="O93" s="9">
        <v>6040</v>
      </c>
      <c r="P93" s="9"/>
      <c r="Q93" s="9"/>
      <c r="R93" s="9"/>
      <c r="S93" s="9"/>
      <c r="T93" s="9" t="s">
        <v>1021</v>
      </c>
      <c r="U93" s="53">
        <v>45834</v>
      </c>
      <c r="V93" s="40"/>
    </row>
    <row r="94" customHeight="1" spans="1:22">
      <c r="A94" s="1">
        <v>21</v>
      </c>
      <c r="B94" s="45" t="s">
        <v>585</v>
      </c>
      <c r="C94" s="45" t="s">
        <v>1136</v>
      </c>
      <c r="D94" s="45" t="s">
        <v>1137</v>
      </c>
      <c r="E94" s="45" t="s">
        <v>512</v>
      </c>
      <c r="F94" s="45" t="s">
        <v>501</v>
      </c>
      <c r="G94" s="45" t="s">
        <v>497</v>
      </c>
      <c r="H94" s="45" t="s">
        <v>658</v>
      </c>
      <c r="I94" s="48">
        <v>45827</v>
      </c>
      <c r="J94" s="48">
        <v>45833</v>
      </c>
      <c r="K94" s="9">
        <v>6</v>
      </c>
      <c r="L94" s="9"/>
      <c r="M94" s="9">
        <v>1</v>
      </c>
      <c r="N94" s="9" t="s">
        <v>1138</v>
      </c>
      <c r="O94" s="9">
        <v>134</v>
      </c>
      <c r="P94" s="9">
        <v>1</v>
      </c>
      <c r="Q94" s="9">
        <v>1</v>
      </c>
      <c r="R94" s="9">
        <v>0</v>
      </c>
      <c r="S94" s="9"/>
      <c r="T94" s="9" t="s">
        <v>1021</v>
      </c>
      <c r="U94" s="53">
        <v>45834</v>
      </c>
      <c r="V94" s="40"/>
    </row>
    <row r="95" customHeight="1" spans="1:22">
      <c r="B95" s="40"/>
      <c r="C95" s="40"/>
      <c r="D95" s="40"/>
      <c r="E95" s="40"/>
      <c r="F95" s="40"/>
      <c r="G95" s="40"/>
      <c r="H95" s="40" t="s">
        <v>646</v>
      </c>
      <c r="I95" s="48">
        <v>45835</v>
      </c>
      <c r="J95" s="48">
        <v>45841</v>
      </c>
      <c r="K95" s="9">
        <v>5</v>
      </c>
      <c r="L95" s="9"/>
      <c r="M95" s="9">
        <v>1</v>
      </c>
      <c r="N95" s="9" t="s">
        <v>1139</v>
      </c>
      <c r="O95" s="9">
        <v>4361</v>
      </c>
      <c r="P95" s="9">
        <v>1</v>
      </c>
      <c r="Q95" s="9">
        <v>1</v>
      </c>
      <c r="R95" s="9">
        <v>0</v>
      </c>
      <c r="S95" s="9"/>
      <c r="T95" s="9" t="s">
        <v>1021</v>
      </c>
      <c r="U95" s="53">
        <v>45842</v>
      </c>
      <c r="V95" s="40"/>
    </row>
    <row r="96" customHeight="1" spans="1:22">
      <c r="B96" s="40"/>
      <c r="C96" s="40"/>
      <c r="D96" s="40"/>
      <c r="E96" s="40"/>
      <c r="F96" s="40"/>
      <c r="G96" s="40"/>
      <c r="H96" s="40" t="s">
        <v>646</v>
      </c>
      <c r="I96" s="48">
        <v>45835</v>
      </c>
      <c r="J96" s="48">
        <v>45841</v>
      </c>
      <c r="K96" s="9">
        <v>5</v>
      </c>
      <c r="L96" s="9"/>
      <c r="M96" s="9">
        <v>1</v>
      </c>
      <c r="N96" s="9" t="s">
        <v>1140</v>
      </c>
      <c r="O96" s="9">
        <v>5426</v>
      </c>
      <c r="P96" s="9">
        <v>1</v>
      </c>
      <c r="Q96" s="9">
        <v>1</v>
      </c>
      <c r="R96" s="9">
        <v>0</v>
      </c>
      <c r="S96" s="9"/>
      <c r="T96" s="9" t="s">
        <v>1021</v>
      </c>
      <c r="U96" s="53">
        <v>45842</v>
      </c>
      <c r="V96" s="40"/>
    </row>
    <row r="97" customHeight="1" spans="1:22">
      <c r="B97" s="40"/>
      <c r="C97" s="40"/>
      <c r="D97" s="40"/>
      <c r="E97" s="40"/>
      <c r="F97" s="40"/>
      <c r="G97" s="40"/>
      <c r="H97" s="40" t="s">
        <v>646</v>
      </c>
      <c r="I97" s="48">
        <v>45835</v>
      </c>
      <c r="J97" s="48">
        <v>45841</v>
      </c>
      <c r="K97" s="9">
        <v>5</v>
      </c>
      <c r="L97" s="9"/>
      <c r="M97" s="9">
        <v>1</v>
      </c>
      <c r="N97" s="9" t="s">
        <v>1141</v>
      </c>
      <c r="O97" s="9">
        <v>600</v>
      </c>
      <c r="P97" s="9">
        <v>1</v>
      </c>
      <c r="Q97" s="9">
        <v>1</v>
      </c>
      <c r="R97" s="9">
        <v>0</v>
      </c>
      <c r="S97" s="9"/>
      <c r="T97" s="9" t="s">
        <v>1021</v>
      </c>
      <c r="U97" s="53">
        <v>45842</v>
      </c>
      <c r="V97" s="40"/>
    </row>
    <row r="98" customHeight="1" spans="1:22">
      <c r="A98" s="1">
        <v>22</v>
      </c>
      <c r="B98" s="45" t="s">
        <v>585</v>
      </c>
      <c r="C98" s="40" t="s">
        <v>1142</v>
      </c>
      <c r="D98" s="40" t="s">
        <v>1143</v>
      </c>
      <c r="E98" s="40" t="s">
        <v>512</v>
      </c>
      <c r="F98" s="40" t="s">
        <v>830</v>
      </c>
      <c r="G98" s="40" t="s">
        <v>497</v>
      </c>
      <c r="H98" s="40" t="s">
        <v>658</v>
      </c>
      <c r="I98" s="48">
        <v>45824</v>
      </c>
      <c r="J98" s="48">
        <v>45833</v>
      </c>
      <c r="K98" s="9">
        <v>9</v>
      </c>
      <c r="L98" s="57" t="s">
        <v>1144</v>
      </c>
      <c r="M98" s="9">
        <v>1</v>
      </c>
      <c r="N98" s="9" t="s">
        <v>1145</v>
      </c>
      <c r="O98" s="9">
        <v>260</v>
      </c>
      <c r="P98" s="9"/>
      <c r="Q98" s="9"/>
      <c r="R98" s="9"/>
      <c r="S98" s="9"/>
      <c r="T98" s="9" t="s">
        <v>1021</v>
      </c>
      <c r="U98" s="53">
        <v>45834</v>
      </c>
      <c r="V98" s="40"/>
    </row>
    <row r="99" customHeight="1" spans="1:22">
      <c r="B99" s="49"/>
      <c r="C99" s="40"/>
      <c r="D99" s="40"/>
      <c r="E99" s="40"/>
      <c r="F99" s="40"/>
      <c r="G99" s="40"/>
      <c r="H99" s="40"/>
      <c r="I99" s="48">
        <v>45824</v>
      </c>
      <c r="J99" s="48">
        <v>45833</v>
      </c>
      <c r="K99" s="9">
        <v>9</v>
      </c>
      <c r="L99" s="57" t="s">
        <v>1144</v>
      </c>
      <c r="M99" s="9">
        <v>1</v>
      </c>
      <c r="N99" s="9" t="s">
        <v>1146</v>
      </c>
      <c r="O99" s="9">
        <v>260</v>
      </c>
      <c r="P99" s="9"/>
      <c r="Q99" s="9"/>
      <c r="R99" s="9"/>
      <c r="S99" s="9"/>
      <c r="T99" s="9" t="s">
        <v>1021</v>
      </c>
      <c r="U99" s="53">
        <v>45834</v>
      </c>
      <c r="V99" s="40"/>
    </row>
    <row r="100" customHeight="1" spans="1:22">
      <c r="B100" s="49"/>
      <c r="C100" s="40"/>
      <c r="D100" s="40"/>
      <c r="E100" s="40"/>
      <c r="F100" s="40"/>
      <c r="G100" s="40"/>
      <c r="H100" s="40"/>
      <c r="I100" s="48">
        <v>45880</v>
      </c>
      <c r="J100" s="48">
        <v>45911</v>
      </c>
      <c r="K100" s="9">
        <v>24</v>
      </c>
      <c r="L100" s="57" t="s">
        <v>1144</v>
      </c>
      <c r="M100" s="9">
        <v>1</v>
      </c>
      <c r="N100" s="9" t="s">
        <v>1147</v>
      </c>
      <c r="O100" s="9">
        <v>659</v>
      </c>
      <c r="P100" s="9">
        <v>0</v>
      </c>
      <c r="Q100" s="9">
        <v>0</v>
      </c>
      <c r="R100" s="9">
        <v>0</v>
      </c>
      <c r="S100" s="9"/>
      <c r="T100" s="9" t="s">
        <v>1021</v>
      </c>
      <c r="U100" s="53">
        <v>45912</v>
      </c>
      <c r="V100" s="40"/>
    </row>
    <row r="101" customHeight="1" spans="1:22">
      <c r="B101" s="49"/>
      <c r="C101" s="45"/>
      <c r="D101" s="45"/>
      <c r="E101" s="45"/>
      <c r="F101" s="45"/>
      <c r="G101" s="45"/>
      <c r="H101" s="45"/>
      <c r="I101" s="47">
        <v>45880</v>
      </c>
      <c r="J101" s="47">
        <v>45911</v>
      </c>
      <c r="K101" s="46">
        <v>24</v>
      </c>
      <c r="L101" s="64" t="s">
        <v>1144</v>
      </c>
      <c r="M101" s="46">
        <v>1</v>
      </c>
      <c r="N101" s="46" t="s">
        <v>1148</v>
      </c>
      <c r="O101" s="46">
        <v>208</v>
      </c>
      <c r="P101" s="46">
        <v>0</v>
      </c>
      <c r="Q101" s="46">
        <v>0</v>
      </c>
      <c r="R101" s="46">
        <v>0</v>
      </c>
      <c r="S101" s="46"/>
      <c r="T101" s="46" t="s">
        <v>1021</v>
      </c>
      <c r="U101" s="53">
        <v>45912</v>
      </c>
      <c r="V101" s="40"/>
    </row>
    <row r="102" customHeight="1" spans="1:22">
      <c r="B102" s="40"/>
      <c r="C102" s="40"/>
      <c r="D102" s="40"/>
      <c r="E102" s="40"/>
      <c r="F102" s="40"/>
      <c r="G102" s="40"/>
      <c r="H102" s="40"/>
      <c r="I102" s="48">
        <v>45901</v>
      </c>
      <c r="J102" s="48">
        <v>45926</v>
      </c>
      <c r="K102" s="9">
        <v>25</v>
      </c>
      <c r="L102" s="57" t="s">
        <v>1144</v>
      </c>
      <c r="M102" s="9">
        <v>1</v>
      </c>
      <c r="N102" s="9" t="s">
        <v>1149</v>
      </c>
      <c r="O102" s="9">
        <v>288</v>
      </c>
      <c r="P102" s="9"/>
      <c r="Q102" s="9"/>
      <c r="R102" s="9"/>
      <c r="S102" s="9"/>
      <c r="T102" s="9" t="s">
        <v>1021</v>
      </c>
      <c r="U102" s="53">
        <v>45926</v>
      </c>
      <c r="V102" s="40"/>
    </row>
    <row r="103" customHeight="1" spans="1:22">
      <c r="B103" s="40"/>
      <c r="C103" s="40"/>
      <c r="D103" s="40"/>
      <c r="E103" s="40"/>
      <c r="F103" s="40"/>
      <c r="G103" s="40"/>
      <c r="H103" s="40"/>
      <c r="I103" s="48">
        <v>45901</v>
      </c>
      <c r="J103" s="48">
        <v>45926</v>
      </c>
      <c r="K103" s="9">
        <v>25</v>
      </c>
      <c r="L103" s="57" t="s">
        <v>1144</v>
      </c>
      <c r="M103" s="9">
        <v>1</v>
      </c>
      <c r="N103" s="9" t="s">
        <v>1150</v>
      </c>
      <c r="O103" s="9">
        <v>1065</v>
      </c>
      <c r="P103" s="9"/>
      <c r="Q103" s="9"/>
      <c r="R103" s="9"/>
      <c r="S103" s="9"/>
      <c r="T103" s="9" t="s">
        <v>1021</v>
      </c>
      <c r="U103" s="53">
        <v>45926</v>
      </c>
      <c r="V103" s="40"/>
    </row>
    <row r="104" ht="66" customHeight="1" spans="1:22">
      <c r="A104" s="45">
        <v>23</v>
      </c>
      <c r="B104" s="40" t="s">
        <v>494</v>
      </c>
      <c r="C104" s="40" t="s">
        <v>754</v>
      </c>
      <c r="D104" s="40" t="s">
        <v>755</v>
      </c>
      <c r="E104" s="40" t="s">
        <v>233</v>
      </c>
      <c r="F104" s="40" t="s">
        <v>830</v>
      </c>
      <c r="G104" s="40" t="s">
        <v>497</v>
      </c>
      <c r="H104" s="40" t="s">
        <v>658</v>
      </c>
      <c r="I104" s="48">
        <v>45824</v>
      </c>
      <c r="J104" s="48">
        <v>45841</v>
      </c>
      <c r="K104" s="9">
        <v>15</v>
      </c>
      <c r="L104" s="57" t="s">
        <v>1151</v>
      </c>
      <c r="M104" s="9">
        <v>1</v>
      </c>
      <c r="N104" s="9" t="s">
        <v>1152</v>
      </c>
      <c r="O104" s="9">
        <v>30362</v>
      </c>
      <c r="P104" s="9">
        <v>2</v>
      </c>
      <c r="Q104" s="9">
        <v>2</v>
      </c>
      <c r="R104" s="9">
        <v>0</v>
      </c>
      <c r="S104" s="9"/>
      <c r="T104" s="9" t="s">
        <v>1021</v>
      </c>
      <c r="U104" s="53">
        <v>45842</v>
      </c>
      <c r="V104" s="40"/>
    </row>
    <row r="105" ht="66" customHeight="1" spans="1:22">
      <c r="A105" s="54"/>
      <c r="B105" s="40"/>
      <c r="C105" s="40"/>
      <c r="D105" s="40"/>
      <c r="E105" s="40"/>
      <c r="F105" s="40"/>
      <c r="G105" s="40"/>
      <c r="H105" s="40" t="s">
        <v>646</v>
      </c>
      <c r="I105" s="48">
        <v>45824</v>
      </c>
      <c r="J105" s="48">
        <v>45841</v>
      </c>
      <c r="K105" s="9">
        <v>15</v>
      </c>
      <c r="L105" s="57" t="s">
        <v>1151</v>
      </c>
      <c r="M105" s="9">
        <v>1</v>
      </c>
      <c r="N105" s="9" t="s">
        <v>1153</v>
      </c>
      <c r="O105" s="9">
        <v>20168</v>
      </c>
      <c r="P105" s="9">
        <v>2</v>
      </c>
      <c r="Q105" s="9">
        <v>2</v>
      </c>
      <c r="R105" s="9">
        <v>0</v>
      </c>
      <c r="S105" s="9"/>
      <c r="T105" s="9" t="s">
        <v>1021</v>
      </c>
      <c r="U105" s="53">
        <v>45842</v>
      </c>
      <c r="V105" s="40"/>
    </row>
    <row r="106" customHeight="1" spans="1:22">
      <c r="A106" s="45">
        <v>24</v>
      </c>
      <c r="B106" s="45" t="s">
        <v>585</v>
      </c>
      <c r="C106" s="45" t="s">
        <v>1154</v>
      </c>
      <c r="D106" s="45" t="s">
        <v>587</v>
      </c>
      <c r="E106" s="45" t="s">
        <v>854</v>
      </c>
      <c r="F106" s="45" t="s">
        <v>501</v>
      </c>
      <c r="G106" s="45" t="s">
        <v>497</v>
      </c>
      <c r="H106" s="45" t="s">
        <v>658</v>
      </c>
      <c r="I106" s="47">
        <v>45813</v>
      </c>
      <c r="J106" s="47">
        <v>45862</v>
      </c>
      <c r="K106" s="46">
        <v>49</v>
      </c>
      <c r="L106" s="64" t="s">
        <v>1155</v>
      </c>
      <c r="M106" s="9">
        <v>1</v>
      </c>
      <c r="N106" s="9" t="s">
        <v>1156</v>
      </c>
      <c r="O106" s="9">
        <v>4929</v>
      </c>
      <c r="P106" s="46">
        <v>4</v>
      </c>
      <c r="Q106" s="46">
        <v>4</v>
      </c>
      <c r="R106" s="46">
        <v>0</v>
      </c>
      <c r="S106" s="9"/>
      <c r="T106" s="9" t="s">
        <v>1021</v>
      </c>
      <c r="U106" s="58">
        <v>45863</v>
      </c>
      <c r="V106" s="40"/>
    </row>
    <row r="107" customHeight="1" spans="1:22">
      <c r="A107" s="49"/>
      <c r="B107" s="49"/>
      <c r="C107" s="49"/>
      <c r="D107" s="49"/>
      <c r="E107" s="49"/>
      <c r="F107" s="49"/>
      <c r="G107" s="49"/>
      <c r="H107" s="49"/>
      <c r="I107" s="51"/>
      <c r="J107" s="51"/>
      <c r="K107" s="50"/>
      <c r="L107" s="65"/>
      <c r="M107" s="9">
        <v>1</v>
      </c>
      <c r="N107" s="9" t="s">
        <v>1157</v>
      </c>
      <c r="O107" s="9">
        <v>645</v>
      </c>
      <c r="P107" s="50"/>
      <c r="Q107" s="50"/>
      <c r="R107" s="50"/>
      <c r="S107" s="9"/>
      <c r="T107" s="9" t="s">
        <v>1021</v>
      </c>
      <c r="U107" s="58">
        <v>45863</v>
      </c>
      <c r="V107" s="40"/>
    </row>
    <row r="108" customHeight="1" spans="1:22">
      <c r="A108" s="49"/>
      <c r="B108" s="49"/>
      <c r="C108" s="49"/>
      <c r="D108" s="49"/>
      <c r="E108" s="49"/>
      <c r="F108" s="49"/>
      <c r="G108" s="49"/>
      <c r="H108" s="49"/>
      <c r="I108" s="51"/>
      <c r="J108" s="51"/>
      <c r="K108" s="50"/>
      <c r="L108" s="65"/>
      <c r="M108" s="9">
        <v>1</v>
      </c>
      <c r="N108" s="9" t="s">
        <v>1158</v>
      </c>
      <c r="O108" s="9">
        <v>2825</v>
      </c>
      <c r="P108" s="50"/>
      <c r="Q108" s="50"/>
      <c r="R108" s="50"/>
      <c r="S108" s="9"/>
      <c r="T108" s="9" t="s">
        <v>1021</v>
      </c>
      <c r="U108" s="58">
        <v>45863</v>
      </c>
      <c r="V108" s="40"/>
    </row>
    <row r="109" customHeight="1" spans="1:22">
      <c r="A109" s="49"/>
      <c r="B109" s="49"/>
      <c r="C109" s="49"/>
      <c r="D109" s="49"/>
      <c r="E109" s="54"/>
      <c r="F109" s="54"/>
      <c r="G109" s="54"/>
      <c r="H109" s="54"/>
      <c r="I109" s="56"/>
      <c r="J109" s="56"/>
      <c r="K109" s="55"/>
      <c r="L109" s="66"/>
      <c r="M109" s="9">
        <v>1</v>
      </c>
      <c r="N109" s="9" t="s">
        <v>1159</v>
      </c>
      <c r="O109" s="9">
        <v>412</v>
      </c>
      <c r="P109" s="55"/>
      <c r="Q109" s="55"/>
      <c r="R109" s="55"/>
      <c r="S109" s="9"/>
      <c r="T109" s="9" t="s">
        <v>1021</v>
      </c>
      <c r="U109" s="58">
        <v>45863</v>
      </c>
      <c r="V109" s="40"/>
    </row>
    <row r="110" customHeight="1" spans="1:22">
      <c r="A110" s="49"/>
      <c r="B110" s="49"/>
      <c r="C110" s="49"/>
      <c r="D110" s="49"/>
      <c r="E110" s="40" t="s">
        <v>854</v>
      </c>
      <c r="F110" s="40" t="s">
        <v>830</v>
      </c>
      <c r="G110" s="40" t="s">
        <v>497</v>
      </c>
      <c r="H110" s="40" t="s">
        <v>658</v>
      </c>
      <c r="I110" s="48">
        <v>45895</v>
      </c>
      <c r="J110" s="48">
        <v>45904</v>
      </c>
      <c r="K110" s="9">
        <v>8</v>
      </c>
      <c r="L110" s="57" t="s">
        <v>1155</v>
      </c>
      <c r="M110" s="9">
        <v>1</v>
      </c>
      <c r="N110" s="9" t="s">
        <v>1160</v>
      </c>
      <c r="O110" s="9">
        <v>4350</v>
      </c>
      <c r="P110" s="50">
        <v>0</v>
      </c>
      <c r="Q110" s="50">
        <v>0</v>
      </c>
      <c r="R110" s="50">
        <v>0</v>
      </c>
      <c r="S110" s="9"/>
      <c r="T110" s="9" t="s">
        <v>1021</v>
      </c>
      <c r="U110" s="58">
        <v>45905</v>
      </c>
      <c r="V110" s="40"/>
    </row>
    <row r="111" customHeight="1" spans="1:22">
      <c r="A111" s="49"/>
      <c r="B111" s="49"/>
      <c r="C111" s="49"/>
      <c r="D111" s="49"/>
      <c r="E111" s="40"/>
      <c r="F111" s="40"/>
      <c r="G111" s="40"/>
      <c r="H111" s="40"/>
      <c r="I111" s="48"/>
      <c r="J111" s="48"/>
      <c r="K111" s="9"/>
      <c r="L111" s="57"/>
      <c r="M111" s="9">
        <v>1</v>
      </c>
      <c r="N111" s="9" t="s">
        <v>1161</v>
      </c>
      <c r="O111" s="9">
        <v>4330</v>
      </c>
      <c r="P111" s="50"/>
      <c r="Q111" s="50"/>
      <c r="R111" s="50"/>
      <c r="S111" s="9"/>
      <c r="T111" s="9" t="s">
        <v>1021</v>
      </c>
      <c r="U111" s="58">
        <v>45905</v>
      </c>
      <c r="V111" s="40"/>
    </row>
    <row r="112" customHeight="1" spans="1:22">
      <c r="A112" s="49"/>
      <c r="B112" s="49"/>
      <c r="C112" s="49"/>
      <c r="D112" s="49"/>
      <c r="E112" s="40"/>
      <c r="F112" s="40"/>
      <c r="G112" s="40"/>
      <c r="H112" s="40"/>
      <c r="I112" s="48"/>
      <c r="J112" s="48"/>
      <c r="K112" s="9"/>
      <c r="L112" s="57"/>
      <c r="M112" s="9">
        <v>1</v>
      </c>
      <c r="N112" s="9" t="s">
        <v>1162</v>
      </c>
      <c r="O112" s="9">
        <v>4858</v>
      </c>
      <c r="P112" s="50"/>
      <c r="Q112" s="50"/>
      <c r="R112" s="50"/>
      <c r="S112" s="9"/>
      <c r="T112" s="9" t="s">
        <v>1021</v>
      </c>
      <c r="U112" s="58">
        <v>45905</v>
      </c>
      <c r="V112" s="40"/>
    </row>
    <row r="113" customHeight="1" spans="1:22">
      <c r="A113" s="49"/>
      <c r="B113" s="49"/>
      <c r="C113" s="49"/>
      <c r="D113" s="49"/>
      <c r="E113" s="40"/>
      <c r="F113" s="40"/>
      <c r="G113" s="40"/>
      <c r="H113" s="40"/>
      <c r="I113" s="48"/>
      <c r="J113" s="48"/>
      <c r="K113" s="9"/>
      <c r="L113" s="57"/>
      <c r="M113" s="9">
        <v>1</v>
      </c>
      <c r="N113" s="9" t="s">
        <v>1163</v>
      </c>
      <c r="O113" s="9">
        <v>4929</v>
      </c>
      <c r="P113" s="50"/>
      <c r="Q113" s="50"/>
      <c r="R113" s="50"/>
      <c r="S113" s="9"/>
      <c r="T113" s="9" t="s">
        <v>1021</v>
      </c>
      <c r="U113" s="58">
        <v>45905</v>
      </c>
      <c r="V113" s="40"/>
    </row>
    <row r="114" customHeight="1" spans="1:22">
      <c r="A114" s="49"/>
      <c r="B114" s="49"/>
      <c r="C114" s="49"/>
      <c r="D114" s="49"/>
      <c r="E114" s="45"/>
      <c r="F114" s="45"/>
      <c r="G114" s="45"/>
      <c r="H114" s="45"/>
      <c r="I114" s="47"/>
      <c r="J114" s="47"/>
      <c r="K114" s="46"/>
      <c r="L114" s="64"/>
      <c r="M114" s="46">
        <v>1</v>
      </c>
      <c r="N114" s="46" t="s">
        <v>1164</v>
      </c>
      <c r="O114" s="9">
        <v>1666</v>
      </c>
      <c r="P114" s="50"/>
      <c r="Q114" s="50"/>
      <c r="R114" s="50"/>
      <c r="S114" s="9"/>
      <c r="T114" s="9" t="s">
        <v>1021</v>
      </c>
      <c r="U114" s="58">
        <v>45905</v>
      </c>
      <c r="V114" s="40"/>
    </row>
    <row r="115" ht="42" customHeight="1" spans="1:22">
      <c r="A115" s="49"/>
      <c r="B115" s="49"/>
      <c r="C115" s="40"/>
      <c r="D115" s="40"/>
      <c r="E115" s="40" t="s">
        <v>727</v>
      </c>
      <c r="F115" s="40" t="s">
        <v>830</v>
      </c>
      <c r="G115" s="40" t="s">
        <v>497</v>
      </c>
      <c r="H115" s="40" t="s">
        <v>658</v>
      </c>
      <c r="I115" s="48">
        <v>45903</v>
      </c>
      <c r="J115" s="48">
        <v>45911</v>
      </c>
      <c r="K115" s="9">
        <v>7</v>
      </c>
      <c r="L115" s="57" t="s">
        <v>1155</v>
      </c>
      <c r="M115" s="9">
        <v>1</v>
      </c>
      <c r="N115" s="9" t="s">
        <v>1165</v>
      </c>
      <c r="O115" s="9">
        <v>1714</v>
      </c>
      <c r="P115" s="9">
        <v>0</v>
      </c>
      <c r="Q115" s="9">
        <v>0</v>
      </c>
      <c r="R115" s="9">
        <v>0</v>
      </c>
      <c r="S115" s="9"/>
      <c r="T115" s="9" t="s">
        <v>1021</v>
      </c>
      <c r="U115" s="58">
        <v>45912</v>
      </c>
      <c r="V115" s="40"/>
    </row>
    <row r="116" ht="65" customHeight="1" spans="1:22">
      <c r="A116" s="45">
        <v>25</v>
      </c>
      <c r="B116" s="45" t="s">
        <v>494</v>
      </c>
      <c r="C116" s="45" t="s">
        <v>780</v>
      </c>
      <c r="D116" s="45" t="s">
        <v>781</v>
      </c>
      <c r="E116" s="45" t="s">
        <v>124</v>
      </c>
      <c r="F116" s="45" t="s">
        <v>98</v>
      </c>
      <c r="G116" s="45" t="s">
        <v>497</v>
      </c>
      <c r="H116" s="45" t="s">
        <v>687</v>
      </c>
      <c r="I116" s="47">
        <v>45843</v>
      </c>
      <c r="J116" s="47">
        <v>45863</v>
      </c>
      <c r="K116" s="46">
        <v>16</v>
      </c>
      <c r="L116" s="64" t="s">
        <v>1166</v>
      </c>
      <c r="M116" s="9">
        <v>1</v>
      </c>
      <c r="N116" s="9" t="s">
        <v>1167</v>
      </c>
      <c r="O116" s="9" t="s">
        <v>1168</v>
      </c>
      <c r="P116" s="46">
        <v>2</v>
      </c>
      <c r="Q116" s="46">
        <v>2</v>
      </c>
      <c r="R116" s="46">
        <v>0</v>
      </c>
      <c r="S116" s="9"/>
      <c r="T116" s="9" t="s">
        <v>1021</v>
      </c>
      <c r="U116" s="58">
        <v>45863</v>
      </c>
      <c r="V116" s="40"/>
    </row>
    <row r="117" ht="67" customHeight="1" spans="1:22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5"/>
      <c r="L117" s="66"/>
      <c r="M117" s="9">
        <v>1</v>
      </c>
      <c r="N117" s="9" t="s">
        <v>1169</v>
      </c>
      <c r="O117" s="9" t="s">
        <v>1170</v>
      </c>
      <c r="P117" s="55"/>
      <c r="Q117" s="55"/>
      <c r="R117" s="55"/>
      <c r="S117" s="9"/>
      <c r="T117" s="9" t="s">
        <v>1021</v>
      </c>
      <c r="U117" s="58">
        <v>45863</v>
      </c>
      <c r="V117" s="40"/>
    </row>
    <row r="118" ht="181" customHeight="1" spans="1:22">
      <c r="A118" s="40">
        <v>26</v>
      </c>
      <c r="B118" s="40" t="s">
        <v>494</v>
      </c>
      <c r="C118" s="40" t="s">
        <v>766</v>
      </c>
      <c r="D118" s="40" t="s">
        <v>805</v>
      </c>
      <c r="E118" s="40" t="s">
        <v>311</v>
      </c>
      <c r="F118" s="40" t="s">
        <v>890</v>
      </c>
      <c r="G118" s="40" t="s">
        <v>497</v>
      </c>
      <c r="H118" s="40" t="s">
        <v>687</v>
      </c>
      <c r="I118" s="48">
        <v>45862</v>
      </c>
      <c r="J118" s="48">
        <v>45869</v>
      </c>
      <c r="K118" s="9">
        <v>6</v>
      </c>
      <c r="L118" s="67" t="s">
        <v>1171</v>
      </c>
      <c r="M118" s="9">
        <v>10</v>
      </c>
      <c r="N118" s="39" t="s">
        <v>1172</v>
      </c>
      <c r="O118" s="9" t="s">
        <v>1173</v>
      </c>
      <c r="P118" s="9">
        <v>2</v>
      </c>
      <c r="Q118" s="9">
        <v>2</v>
      </c>
      <c r="R118" s="9">
        <v>0</v>
      </c>
      <c r="S118" s="9"/>
      <c r="T118" s="9" t="s">
        <v>1021</v>
      </c>
      <c r="U118" s="58">
        <v>45870</v>
      </c>
      <c r="V118" s="40"/>
    </row>
    <row r="119" ht="57" customHeight="1" spans="1:22">
      <c r="A119" s="45">
        <v>27</v>
      </c>
      <c r="B119" s="45" t="s">
        <v>494</v>
      </c>
      <c r="C119" s="45" t="s">
        <v>1174</v>
      </c>
      <c r="D119" s="45" t="s">
        <v>1175</v>
      </c>
      <c r="E119" s="45" t="s">
        <v>701</v>
      </c>
      <c r="F119" s="45" t="s">
        <v>830</v>
      </c>
      <c r="G119" s="45" t="s">
        <v>497</v>
      </c>
      <c r="H119" s="45" t="s">
        <v>682</v>
      </c>
      <c r="I119" s="47">
        <v>45813</v>
      </c>
      <c r="J119" s="47">
        <v>45877</v>
      </c>
      <c r="K119" s="46">
        <v>63</v>
      </c>
      <c r="L119" s="64" t="s">
        <v>1176</v>
      </c>
      <c r="M119" s="9">
        <v>1</v>
      </c>
      <c r="N119" s="9" t="s">
        <v>1177</v>
      </c>
      <c r="O119" s="9">
        <v>2982</v>
      </c>
      <c r="P119" s="46">
        <v>5</v>
      </c>
      <c r="Q119" s="46">
        <v>5</v>
      </c>
      <c r="R119" s="46">
        <v>0</v>
      </c>
      <c r="S119" s="46"/>
      <c r="T119" s="46" t="s">
        <v>1021</v>
      </c>
      <c r="U119" s="68">
        <v>45877</v>
      </c>
      <c r="V119" s="40"/>
    </row>
    <row r="120" customHeight="1" spans="1:22">
      <c r="A120" s="49"/>
      <c r="B120" s="49"/>
      <c r="C120" s="49"/>
      <c r="D120" s="49"/>
      <c r="E120" s="49"/>
      <c r="F120" s="49"/>
      <c r="G120" s="49"/>
      <c r="H120" s="49"/>
      <c r="I120" s="51"/>
      <c r="J120" s="51"/>
      <c r="K120" s="50"/>
      <c r="L120" s="65"/>
      <c r="M120" s="9">
        <v>1</v>
      </c>
      <c r="N120" s="9" t="s">
        <v>1178</v>
      </c>
      <c r="O120" s="9">
        <v>708</v>
      </c>
      <c r="P120" s="50"/>
      <c r="Q120" s="50"/>
      <c r="R120" s="50"/>
      <c r="S120" s="50"/>
      <c r="T120" s="50"/>
      <c r="U120" s="11"/>
      <c r="V120" s="40"/>
    </row>
    <row r="121" customHeight="1" spans="1:22">
      <c r="A121" s="49"/>
      <c r="B121" s="49"/>
      <c r="C121" s="49"/>
      <c r="D121" s="49"/>
      <c r="E121" s="49"/>
      <c r="F121" s="49"/>
      <c r="G121" s="49"/>
      <c r="H121" s="49"/>
      <c r="I121" s="51"/>
      <c r="J121" s="51"/>
      <c r="K121" s="50"/>
      <c r="L121" s="65"/>
      <c r="M121" s="9">
        <v>1</v>
      </c>
      <c r="N121" s="9" t="s">
        <v>1179</v>
      </c>
      <c r="O121" s="9">
        <v>988</v>
      </c>
      <c r="P121" s="50"/>
      <c r="Q121" s="50"/>
      <c r="R121" s="50"/>
      <c r="S121" s="50"/>
      <c r="T121" s="50"/>
      <c r="U121" s="11"/>
      <c r="V121" s="40"/>
    </row>
    <row r="122" customHeight="1" spans="1:22">
      <c r="A122" s="49"/>
      <c r="B122" s="49"/>
      <c r="C122" s="49"/>
      <c r="D122" s="49"/>
      <c r="E122" s="49"/>
      <c r="F122" s="49"/>
      <c r="G122" s="49"/>
      <c r="H122" s="49"/>
      <c r="I122" s="51"/>
      <c r="J122" s="51"/>
      <c r="K122" s="50"/>
      <c r="L122" s="65"/>
      <c r="M122" s="9">
        <v>1</v>
      </c>
      <c r="N122" s="9" t="s">
        <v>1180</v>
      </c>
      <c r="O122" s="9">
        <v>2520</v>
      </c>
      <c r="P122" s="50"/>
      <c r="Q122" s="50"/>
      <c r="R122" s="50"/>
      <c r="S122" s="50"/>
      <c r="T122" s="50"/>
      <c r="U122" s="11"/>
      <c r="V122" s="40"/>
    </row>
    <row r="123" customHeight="1" spans="1:22">
      <c r="A123" s="54"/>
      <c r="B123" s="54"/>
      <c r="C123" s="54"/>
      <c r="D123" s="54"/>
      <c r="E123" s="54"/>
      <c r="F123" s="54"/>
      <c r="G123" s="54"/>
      <c r="H123" s="54"/>
      <c r="I123" s="56"/>
      <c r="J123" s="56"/>
      <c r="K123" s="55"/>
      <c r="L123" s="66"/>
      <c r="M123" s="9">
        <v>1</v>
      </c>
      <c r="N123" s="9" t="s">
        <v>1181</v>
      </c>
      <c r="O123" s="9">
        <v>2912</v>
      </c>
      <c r="P123" s="55"/>
      <c r="Q123" s="55"/>
      <c r="R123" s="55"/>
      <c r="S123" s="55"/>
      <c r="T123" s="55"/>
      <c r="U123" s="11"/>
      <c r="V123" s="40"/>
    </row>
    <row r="124" ht="66" customHeight="1" spans="1:22">
      <c r="A124" s="45">
        <v>25</v>
      </c>
      <c r="B124" s="45" t="s">
        <v>494</v>
      </c>
      <c r="C124" s="45" t="s">
        <v>1182</v>
      </c>
      <c r="D124" s="46" t="s">
        <v>1183</v>
      </c>
      <c r="E124" s="45" t="s">
        <v>124</v>
      </c>
      <c r="F124" s="45" t="s">
        <v>98</v>
      </c>
      <c r="G124" s="45" t="s">
        <v>497</v>
      </c>
      <c r="H124" s="45" t="s">
        <v>687</v>
      </c>
      <c r="I124" s="47">
        <v>45843</v>
      </c>
      <c r="J124" s="47">
        <v>45883</v>
      </c>
      <c r="K124" s="46">
        <v>40</v>
      </c>
      <c r="L124" s="69" t="s">
        <v>1184</v>
      </c>
      <c r="M124" s="9">
        <v>1</v>
      </c>
      <c r="N124" s="9" t="s">
        <v>1185</v>
      </c>
      <c r="O124" s="9" t="s">
        <v>1186</v>
      </c>
      <c r="P124" s="9">
        <v>2</v>
      </c>
      <c r="Q124" s="9">
        <v>2</v>
      </c>
      <c r="R124" s="9">
        <v>0</v>
      </c>
      <c r="S124" s="9"/>
      <c r="T124" s="9" t="s">
        <v>1021</v>
      </c>
      <c r="U124" s="70">
        <v>45884</v>
      </c>
      <c r="V124" s="40"/>
    </row>
    <row r="125" ht="85" customHeight="1" spans="1:22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5"/>
      <c r="L125" s="66"/>
      <c r="M125" s="9"/>
      <c r="N125" s="9"/>
      <c r="O125" s="9"/>
      <c r="P125" s="9"/>
      <c r="Q125" s="9"/>
      <c r="R125" s="9"/>
      <c r="S125" s="9"/>
      <c r="T125" s="9"/>
      <c r="U125" s="58"/>
      <c r="V125" s="40"/>
    </row>
    <row r="126" customHeight="1" spans="1:22">
      <c r="A126" s="45">
        <v>26</v>
      </c>
      <c r="B126" s="45" t="s">
        <v>494</v>
      </c>
      <c r="C126" s="45" t="s">
        <v>1187</v>
      </c>
      <c r="D126" s="45" t="s">
        <v>834</v>
      </c>
      <c r="E126" s="45" t="s">
        <v>20</v>
      </c>
      <c r="F126" s="45" t="s">
        <v>830</v>
      </c>
      <c r="G126" s="45" t="s">
        <v>497</v>
      </c>
      <c r="H126" s="45" t="s">
        <v>658</v>
      </c>
      <c r="I126" s="47">
        <v>45930</v>
      </c>
      <c r="J126" s="47">
        <v>45961</v>
      </c>
      <c r="K126" s="46">
        <v>22</v>
      </c>
      <c r="L126" s="64" t="s">
        <v>1188</v>
      </c>
      <c r="M126" s="9">
        <v>1</v>
      </c>
      <c r="N126" s="9" t="s">
        <v>1189</v>
      </c>
      <c r="O126" s="46" t="s">
        <v>1190</v>
      </c>
      <c r="P126" s="46">
        <v>2</v>
      </c>
      <c r="Q126" s="46">
        <v>2</v>
      </c>
      <c r="R126" s="46">
        <v>0</v>
      </c>
      <c r="S126" s="46"/>
      <c r="T126" s="46" t="s">
        <v>1021</v>
      </c>
      <c r="U126" s="53">
        <v>45961</v>
      </c>
      <c r="V126" s="40"/>
    </row>
    <row r="127" customHeight="1" spans="1:22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50"/>
      <c r="L127" s="65"/>
      <c r="M127" s="9">
        <v>1</v>
      </c>
      <c r="N127" s="9" t="s">
        <v>1191</v>
      </c>
      <c r="O127" s="50"/>
      <c r="P127" s="50"/>
      <c r="Q127" s="50"/>
      <c r="R127" s="50"/>
      <c r="S127" s="50"/>
      <c r="T127" s="50"/>
      <c r="U127" s="15"/>
      <c r="V127" s="40"/>
    </row>
    <row r="128" customHeight="1" spans="1:22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50"/>
      <c r="L128" s="65"/>
      <c r="M128" s="9">
        <v>1</v>
      </c>
      <c r="N128" s="9" t="s">
        <v>1192</v>
      </c>
      <c r="O128" s="50"/>
      <c r="P128" s="50"/>
      <c r="Q128" s="50"/>
      <c r="R128" s="50"/>
      <c r="S128" s="50"/>
      <c r="T128" s="50"/>
      <c r="U128" s="15"/>
      <c r="V128" s="40"/>
    </row>
    <row r="129" customHeight="1" spans="1:22">
      <c r="A129" s="49"/>
      <c r="B129" s="49"/>
      <c r="C129" s="49"/>
      <c r="D129" s="49"/>
      <c r="E129" s="49"/>
      <c r="F129" s="49"/>
      <c r="G129" s="49"/>
      <c r="H129" s="54"/>
      <c r="I129" s="49"/>
      <c r="J129" s="49"/>
      <c r="K129" s="50"/>
      <c r="L129" s="65"/>
      <c r="M129" s="9">
        <v>1</v>
      </c>
      <c r="N129" s="9" t="s">
        <v>1193</v>
      </c>
      <c r="O129" s="50"/>
      <c r="P129" s="50"/>
      <c r="Q129" s="50"/>
      <c r="R129" s="50"/>
      <c r="S129" s="50"/>
      <c r="T129" s="50"/>
      <c r="U129" s="15"/>
      <c r="V129" s="40"/>
    </row>
    <row r="130" customHeight="1" spans="1:22">
      <c r="A130" s="49"/>
      <c r="B130" s="49"/>
      <c r="C130" s="49"/>
      <c r="D130" s="49"/>
      <c r="E130" s="49"/>
      <c r="F130" s="49"/>
      <c r="G130" s="49"/>
      <c r="H130" s="45" t="s">
        <v>698</v>
      </c>
      <c r="I130" s="49"/>
      <c r="J130" s="49"/>
      <c r="K130" s="50"/>
      <c r="L130" s="65"/>
      <c r="M130" s="9">
        <v>1</v>
      </c>
      <c r="N130" s="9" t="s">
        <v>1194</v>
      </c>
      <c r="O130" s="50"/>
      <c r="P130" s="50"/>
      <c r="Q130" s="50"/>
      <c r="R130" s="50"/>
      <c r="S130" s="50"/>
      <c r="T130" s="50"/>
      <c r="U130" s="15"/>
      <c r="V130" s="40"/>
    </row>
    <row r="131" customHeight="1" spans="1:22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50"/>
      <c r="L131" s="65"/>
      <c r="M131" s="9">
        <v>1</v>
      </c>
      <c r="N131" s="9" t="s">
        <v>1195</v>
      </c>
      <c r="O131" s="50"/>
      <c r="P131" s="50"/>
      <c r="Q131" s="50"/>
      <c r="R131" s="50"/>
      <c r="S131" s="50"/>
      <c r="T131" s="50"/>
      <c r="U131" s="15"/>
      <c r="V131" s="40"/>
    </row>
    <row r="132" customHeight="1" spans="1:2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50"/>
      <c r="L132" s="65"/>
      <c r="M132" s="9">
        <v>1</v>
      </c>
      <c r="N132" s="9" t="s">
        <v>1196</v>
      </c>
      <c r="O132" s="50"/>
      <c r="P132" s="50"/>
      <c r="Q132" s="50"/>
      <c r="R132" s="50"/>
      <c r="S132" s="50"/>
      <c r="T132" s="50"/>
      <c r="U132" s="15"/>
      <c r="V132" s="40"/>
    </row>
    <row r="133" customHeight="1" spans="1:22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5"/>
      <c r="L133" s="66"/>
      <c r="M133" s="9">
        <v>1</v>
      </c>
      <c r="N133" s="9" t="s">
        <v>1197</v>
      </c>
      <c r="O133" s="55"/>
      <c r="P133" s="55"/>
      <c r="Q133" s="55"/>
      <c r="R133" s="55"/>
      <c r="S133" s="55"/>
      <c r="T133" s="55"/>
      <c r="U133" s="15"/>
      <c r="V133" s="40"/>
    </row>
    <row r="134" ht="90" customHeight="1" spans="1:22">
      <c r="A134" s="40">
        <v>27</v>
      </c>
      <c r="B134" s="40" t="s">
        <v>494</v>
      </c>
      <c r="C134" s="40" t="s">
        <v>1198</v>
      </c>
      <c r="D134" s="40" t="s">
        <v>1199</v>
      </c>
      <c r="E134" s="40" t="s">
        <v>20</v>
      </c>
      <c r="F134" s="40" t="s">
        <v>830</v>
      </c>
      <c r="G134" s="40" t="s">
        <v>497</v>
      </c>
      <c r="H134" s="40" t="s">
        <v>698</v>
      </c>
      <c r="I134" s="48">
        <v>45950</v>
      </c>
      <c r="J134" s="48">
        <v>45961</v>
      </c>
      <c r="K134" s="9">
        <v>12</v>
      </c>
      <c r="L134" s="57" t="s">
        <v>1200</v>
      </c>
      <c r="M134" s="9">
        <v>1</v>
      </c>
      <c r="N134" s="9" t="s">
        <v>1201</v>
      </c>
      <c r="O134" s="9">
        <v>1513</v>
      </c>
      <c r="P134" s="9">
        <v>0</v>
      </c>
      <c r="Q134" s="9">
        <v>0</v>
      </c>
      <c r="R134" s="9">
        <v>0</v>
      </c>
      <c r="S134" s="9"/>
      <c r="T134" s="9" t="s">
        <v>1021</v>
      </c>
      <c r="U134" s="53">
        <v>45961</v>
      </c>
      <c r="V134" s="40"/>
    </row>
    <row r="135" ht="46" customHeight="1" spans="1:22">
      <c r="A135" s="45">
        <v>28</v>
      </c>
      <c r="B135" s="45" t="s">
        <v>494</v>
      </c>
      <c r="C135" s="45" t="s">
        <v>1126</v>
      </c>
      <c r="D135" s="45" t="s">
        <v>714</v>
      </c>
      <c r="E135" s="45" t="s">
        <v>43</v>
      </c>
      <c r="F135" s="45" t="s">
        <v>830</v>
      </c>
      <c r="G135" s="45" t="s">
        <v>497</v>
      </c>
      <c r="H135" s="45" t="s">
        <v>658</v>
      </c>
      <c r="I135" s="47">
        <v>45831</v>
      </c>
      <c r="J135" s="47">
        <v>45975</v>
      </c>
      <c r="K135" s="46" t="s">
        <v>1202</v>
      </c>
      <c r="L135" s="64" t="s">
        <v>1203</v>
      </c>
      <c r="M135" s="9">
        <v>1</v>
      </c>
      <c r="N135" s="9" t="s">
        <v>1204</v>
      </c>
      <c r="O135" s="9">
        <v>3493</v>
      </c>
      <c r="P135" s="46">
        <v>7</v>
      </c>
      <c r="Q135" s="46">
        <v>7</v>
      </c>
      <c r="R135" s="46">
        <v>0</v>
      </c>
      <c r="S135" s="46"/>
      <c r="T135" s="46" t="s">
        <v>1021</v>
      </c>
      <c r="U135" s="71">
        <v>45975</v>
      </c>
      <c r="V135" s="40"/>
    </row>
    <row r="136" ht="46" customHeight="1" spans="1:22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50"/>
      <c r="L136" s="65"/>
      <c r="M136" s="9">
        <v>1</v>
      </c>
      <c r="N136" s="9" t="s">
        <v>1205</v>
      </c>
      <c r="O136" s="9">
        <v>6763</v>
      </c>
      <c r="P136" s="50"/>
      <c r="Q136" s="50"/>
      <c r="R136" s="50"/>
      <c r="S136" s="50"/>
      <c r="T136" s="50"/>
      <c r="U136" s="72"/>
      <c r="V136" s="40"/>
    </row>
    <row r="137" ht="46" customHeight="1" spans="1:22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50"/>
      <c r="L137" s="65"/>
      <c r="M137" s="9">
        <v>1</v>
      </c>
      <c r="N137" s="9" t="s">
        <v>1206</v>
      </c>
      <c r="O137" s="9">
        <v>9814</v>
      </c>
      <c r="P137" s="50"/>
      <c r="Q137" s="50"/>
      <c r="R137" s="50"/>
      <c r="S137" s="50"/>
      <c r="T137" s="50"/>
      <c r="U137" s="72"/>
      <c r="V137" s="40"/>
    </row>
    <row r="138" ht="46" customHeight="1" spans="1:22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50"/>
      <c r="L138" s="65"/>
      <c r="M138" s="9">
        <v>1</v>
      </c>
      <c r="N138" s="9" t="s">
        <v>1207</v>
      </c>
      <c r="O138" s="9">
        <v>6192</v>
      </c>
      <c r="P138" s="50"/>
      <c r="Q138" s="50"/>
      <c r="R138" s="50"/>
      <c r="S138" s="50"/>
      <c r="T138" s="50"/>
      <c r="U138" s="72"/>
      <c r="V138" s="40"/>
    </row>
    <row r="139" ht="46" customHeight="1" spans="1:22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5"/>
      <c r="L139" s="66"/>
      <c r="M139" s="9">
        <v>1</v>
      </c>
      <c r="N139" s="9" t="s">
        <v>1208</v>
      </c>
      <c r="O139" s="9">
        <v>7346</v>
      </c>
      <c r="P139" s="55"/>
      <c r="Q139" s="55"/>
      <c r="R139" s="55"/>
      <c r="S139" s="55"/>
      <c r="T139" s="55"/>
      <c r="U139" s="72"/>
      <c r="V139" s="40"/>
    </row>
    <row r="140" ht="35" customHeight="1" spans="1:22">
      <c r="A140" s="40">
        <v>29</v>
      </c>
      <c r="B140" s="45" t="s">
        <v>494</v>
      </c>
      <c r="C140" s="45" t="s">
        <v>1209</v>
      </c>
      <c r="D140" s="45" t="s">
        <v>1210</v>
      </c>
      <c r="E140" s="45" t="s">
        <v>311</v>
      </c>
      <c r="F140" s="45" t="s">
        <v>890</v>
      </c>
      <c r="G140" s="45" t="s">
        <v>497</v>
      </c>
      <c r="H140" s="45" t="s">
        <v>682</v>
      </c>
      <c r="I140" s="47">
        <v>45902</v>
      </c>
      <c r="J140" s="47">
        <v>45975</v>
      </c>
      <c r="K140" s="46">
        <v>60</v>
      </c>
      <c r="L140" s="64" t="s">
        <v>1211</v>
      </c>
      <c r="M140" s="9">
        <v>1</v>
      </c>
      <c r="N140" s="9" t="s">
        <v>1212</v>
      </c>
      <c r="O140" s="9" t="s">
        <v>1213</v>
      </c>
      <c r="P140" s="46">
        <v>6</v>
      </c>
      <c r="Q140" s="46">
        <v>6</v>
      </c>
      <c r="R140" s="46">
        <v>0</v>
      </c>
      <c r="S140" s="46"/>
      <c r="T140" s="46" t="s">
        <v>1021</v>
      </c>
      <c r="U140" s="71">
        <v>45975</v>
      </c>
      <c r="V140" s="40"/>
    </row>
    <row r="141" ht="35" customHeight="1" spans="1:22">
      <c r="A141" s="40"/>
      <c r="B141" s="49"/>
      <c r="C141" s="49"/>
      <c r="D141" s="49"/>
      <c r="E141" s="49"/>
      <c r="F141" s="49"/>
      <c r="G141" s="49"/>
      <c r="H141" s="49"/>
      <c r="I141" s="49"/>
      <c r="J141" s="49"/>
      <c r="K141" s="50"/>
      <c r="L141" s="65"/>
      <c r="M141" s="9">
        <v>1</v>
      </c>
      <c r="N141" s="9" t="s">
        <v>1214</v>
      </c>
      <c r="O141" s="9" t="s">
        <v>1213</v>
      </c>
      <c r="P141" s="50"/>
      <c r="Q141" s="50"/>
      <c r="R141" s="50"/>
      <c r="S141" s="50"/>
      <c r="T141" s="50"/>
      <c r="U141" s="72"/>
      <c r="V141" s="40"/>
    </row>
    <row r="142" ht="35" customHeight="1" spans="1:22">
      <c r="A142" s="40"/>
      <c r="B142" s="49"/>
      <c r="C142" s="49"/>
      <c r="D142" s="49"/>
      <c r="E142" s="49"/>
      <c r="F142" s="49"/>
      <c r="G142" s="49"/>
      <c r="H142" s="49"/>
      <c r="I142" s="49"/>
      <c r="J142" s="49"/>
      <c r="K142" s="50"/>
      <c r="L142" s="65"/>
      <c r="M142" s="9">
        <v>1</v>
      </c>
      <c r="N142" s="9" t="s">
        <v>1215</v>
      </c>
      <c r="O142" s="9" t="s">
        <v>1213</v>
      </c>
      <c r="P142" s="50"/>
      <c r="Q142" s="50"/>
      <c r="R142" s="50"/>
      <c r="S142" s="50"/>
      <c r="T142" s="50"/>
      <c r="U142" s="72"/>
      <c r="V142" s="40"/>
    </row>
    <row r="143" ht="35" customHeight="1" spans="1:22">
      <c r="A143" s="40"/>
      <c r="B143" s="49"/>
      <c r="C143" s="54"/>
      <c r="D143" s="54"/>
      <c r="E143" s="49"/>
      <c r="F143" s="49"/>
      <c r="G143" s="49"/>
      <c r="H143" s="54"/>
      <c r="I143" s="49"/>
      <c r="J143" s="49"/>
      <c r="K143" s="50"/>
      <c r="L143" s="66"/>
      <c r="M143" s="9">
        <v>1</v>
      </c>
      <c r="N143" s="9" t="s">
        <v>1216</v>
      </c>
      <c r="O143" s="9" t="s">
        <v>1213</v>
      </c>
      <c r="P143" s="50"/>
      <c r="Q143" s="50"/>
      <c r="R143" s="50"/>
      <c r="S143" s="50"/>
      <c r="T143" s="50"/>
      <c r="U143" s="72"/>
      <c r="V143" s="40"/>
    </row>
    <row r="144" ht="96" customHeight="1" spans="1:22">
      <c r="A144" s="45"/>
      <c r="B144" s="49"/>
      <c r="C144" s="45" t="s">
        <v>1217</v>
      </c>
      <c r="D144" s="45" t="s">
        <v>1218</v>
      </c>
      <c r="E144" s="49"/>
      <c r="F144" s="49"/>
      <c r="G144" s="49"/>
      <c r="H144" s="45" t="s">
        <v>698</v>
      </c>
      <c r="I144" s="49"/>
      <c r="J144" s="49"/>
      <c r="K144" s="50"/>
      <c r="L144" s="64" t="s">
        <v>1211</v>
      </c>
      <c r="M144" s="46">
        <v>1</v>
      </c>
      <c r="N144" s="46" t="s">
        <v>1219</v>
      </c>
      <c r="O144" s="46" t="s">
        <v>1213</v>
      </c>
      <c r="P144" s="50"/>
      <c r="Q144" s="50"/>
      <c r="R144" s="50"/>
      <c r="S144" s="50"/>
      <c r="T144" s="50"/>
      <c r="U144" s="72"/>
      <c r="V144" s="40"/>
    </row>
    <row r="145" ht="93" customHeight="1" spans="1:22">
      <c r="A145" s="45">
        <v>30</v>
      </c>
      <c r="B145" s="45" t="s">
        <v>494</v>
      </c>
      <c r="C145" s="40" t="s">
        <v>1209</v>
      </c>
      <c r="D145" s="40" t="s">
        <v>1210</v>
      </c>
      <c r="E145" s="45" t="s">
        <v>311</v>
      </c>
      <c r="F145" s="45" t="s">
        <v>890</v>
      </c>
      <c r="G145" s="45" t="s">
        <v>497</v>
      </c>
      <c r="H145" s="45" t="s">
        <v>698</v>
      </c>
      <c r="I145" s="47">
        <v>45902</v>
      </c>
      <c r="J145" s="47">
        <v>45982</v>
      </c>
      <c r="K145" s="46">
        <v>67</v>
      </c>
      <c r="L145" s="57" t="s">
        <v>1211</v>
      </c>
      <c r="M145" s="9">
        <v>1</v>
      </c>
      <c r="N145" s="9" t="s">
        <v>1220</v>
      </c>
      <c r="O145" s="46" t="s">
        <v>1213</v>
      </c>
      <c r="P145" s="9">
        <v>6</v>
      </c>
      <c r="Q145" s="9">
        <v>6</v>
      </c>
      <c r="R145" s="9">
        <v>0</v>
      </c>
      <c r="S145" s="9"/>
      <c r="T145" s="9" t="s">
        <v>1021</v>
      </c>
      <c r="U145" s="73">
        <v>45982</v>
      </c>
      <c r="V145" s="40"/>
    </row>
    <row r="146" ht="89" customHeight="1" spans="1:22">
      <c r="A146" s="54"/>
      <c r="B146" s="54"/>
      <c r="C146" s="40" t="s">
        <v>1221</v>
      </c>
      <c r="D146" s="9" t="s">
        <v>1222</v>
      </c>
      <c r="E146" s="54"/>
      <c r="F146" s="54"/>
      <c r="G146" s="54"/>
      <c r="H146" s="54"/>
      <c r="I146" s="54"/>
      <c r="J146" s="54"/>
      <c r="K146" s="55"/>
      <c r="L146" s="57" t="s">
        <v>1211</v>
      </c>
      <c r="M146" s="9">
        <v>1</v>
      </c>
      <c r="N146" s="9" t="s">
        <v>1223</v>
      </c>
      <c r="O146" s="46" t="s">
        <v>1213</v>
      </c>
      <c r="P146" s="9">
        <v>6</v>
      </c>
      <c r="Q146" s="9">
        <v>6</v>
      </c>
      <c r="R146" s="9">
        <v>0</v>
      </c>
      <c r="S146" s="9"/>
      <c r="T146" s="9" t="s">
        <v>1021</v>
      </c>
      <c r="U146" s="73">
        <v>45982</v>
      </c>
      <c r="V146" s="40"/>
    </row>
    <row r="147" ht="57" customHeight="1" spans="1:22">
      <c r="A147" s="45">
        <v>31</v>
      </c>
      <c r="B147" s="45" t="s">
        <v>494</v>
      </c>
      <c r="C147" s="45" t="s">
        <v>1224</v>
      </c>
      <c r="D147" s="46" t="s">
        <v>1225</v>
      </c>
      <c r="E147" s="45" t="s">
        <v>311</v>
      </c>
      <c r="F147" s="45" t="s">
        <v>890</v>
      </c>
      <c r="G147" s="45" t="s">
        <v>497</v>
      </c>
      <c r="H147" s="45" t="s">
        <v>646</v>
      </c>
      <c r="I147" s="47">
        <v>45974</v>
      </c>
      <c r="J147" s="47">
        <v>45982</v>
      </c>
      <c r="K147" s="46">
        <v>7</v>
      </c>
      <c r="L147" s="64" t="s">
        <v>1226</v>
      </c>
      <c r="M147" s="9">
        <v>1</v>
      </c>
      <c r="N147" s="9" t="s">
        <v>1227</v>
      </c>
      <c r="O147" s="46" t="s">
        <v>1213</v>
      </c>
      <c r="P147" s="9">
        <v>1</v>
      </c>
      <c r="Q147" s="9">
        <v>1</v>
      </c>
      <c r="R147" s="9">
        <v>0</v>
      </c>
      <c r="S147" s="9"/>
      <c r="T147" s="46" t="s">
        <v>1021</v>
      </c>
      <c r="U147" s="73">
        <v>45982</v>
      </c>
      <c r="V147" s="40"/>
    </row>
    <row r="148" ht="57" customHeight="1" spans="1:22">
      <c r="A148" s="54"/>
      <c r="B148" s="54"/>
      <c r="C148" s="54"/>
      <c r="D148" s="55"/>
      <c r="E148" s="54"/>
      <c r="F148" s="54"/>
      <c r="G148" s="54"/>
      <c r="H148" s="54"/>
      <c r="I148" s="54"/>
      <c r="J148" s="54"/>
      <c r="K148" s="55"/>
      <c r="L148" s="66"/>
      <c r="M148" s="9">
        <v>1</v>
      </c>
      <c r="N148" s="9" t="s">
        <v>1228</v>
      </c>
      <c r="O148" s="46" t="s">
        <v>1213</v>
      </c>
      <c r="P148" s="9">
        <v>1</v>
      </c>
      <c r="Q148" s="9">
        <v>1</v>
      </c>
      <c r="R148" s="9">
        <v>0</v>
      </c>
      <c r="S148" s="9"/>
      <c r="T148" s="55"/>
      <c r="U148" s="73"/>
      <c r="V148" s="40"/>
    </row>
    <row r="149" ht="122" customHeight="1" spans="1:22">
      <c r="A149" s="40">
        <v>32</v>
      </c>
      <c r="B149" s="40" t="s">
        <v>494</v>
      </c>
      <c r="C149" s="40" t="s">
        <v>784</v>
      </c>
      <c r="D149" s="40" t="s">
        <v>1229</v>
      </c>
      <c r="E149" s="40" t="s">
        <v>124</v>
      </c>
      <c r="F149" s="40" t="s">
        <v>98</v>
      </c>
      <c r="G149" s="40" t="s">
        <v>497</v>
      </c>
      <c r="H149" s="40" t="s">
        <v>687</v>
      </c>
      <c r="I149" s="48">
        <v>45843</v>
      </c>
      <c r="J149" s="48">
        <v>46016</v>
      </c>
      <c r="K149" s="9">
        <v>33</v>
      </c>
      <c r="L149" s="74" t="s">
        <v>1230</v>
      </c>
      <c r="M149" s="9">
        <v>1</v>
      </c>
      <c r="N149" s="9" t="s">
        <v>1185</v>
      </c>
      <c r="O149" s="9" t="s">
        <v>1231</v>
      </c>
      <c r="P149" s="9">
        <v>5</v>
      </c>
      <c r="Q149" s="9">
        <v>5</v>
      </c>
      <c r="R149" s="9">
        <v>0</v>
      </c>
      <c r="S149" s="73"/>
      <c r="T149" s="73" t="s">
        <v>1021</v>
      </c>
      <c r="U149" s="73">
        <v>46029</v>
      </c>
      <c r="V149" s="40"/>
    </row>
    <row r="150" ht="122" customHeight="1" spans="1:22">
      <c r="A150" s="40">
        <v>33</v>
      </c>
      <c r="B150" s="40" t="s">
        <v>494</v>
      </c>
      <c r="C150" s="40" t="s">
        <v>784</v>
      </c>
      <c r="D150" s="9" t="s">
        <v>1229</v>
      </c>
      <c r="E150" s="40" t="s">
        <v>124</v>
      </c>
      <c r="F150" s="40" t="s">
        <v>98</v>
      </c>
      <c r="G150" s="40" t="s">
        <v>497</v>
      </c>
      <c r="H150" s="40" t="s">
        <v>687</v>
      </c>
      <c r="I150" s="48">
        <v>45843</v>
      </c>
      <c r="J150" s="48">
        <v>46016</v>
      </c>
      <c r="K150" s="9">
        <v>33</v>
      </c>
      <c r="L150" s="74" t="s">
        <v>1230</v>
      </c>
      <c r="M150" s="9">
        <v>1</v>
      </c>
      <c r="N150" s="9" t="s">
        <v>1185</v>
      </c>
      <c r="O150" s="9" t="s">
        <v>1231</v>
      </c>
      <c r="P150" s="9">
        <v>5</v>
      </c>
      <c r="Q150" s="9">
        <v>5</v>
      </c>
      <c r="R150" s="9">
        <v>0</v>
      </c>
      <c r="S150" s="73"/>
      <c r="T150" s="73" t="s">
        <v>1021</v>
      </c>
      <c r="U150" s="73">
        <v>46029</v>
      </c>
      <c r="V150" s="40"/>
    </row>
    <row r="151" ht="82" customHeight="1" spans="1:22">
      <c r="A151" s="40">
        <v>34</v>
      </c>
      <c r="B151" s="40" t="s">
        <v>494</v>
      </c>
      <c r="C151" s="40" t="s">
        <v>1232</v>
      </c>
      <c r="D151" s="40" t="s">
        <v>1233</v>
      </c>
      <c r="E151" s="40" t="s">
        <v>311</v>
      </c>
      <c r="F151" s="40" t="s">
        <v>98</v>
      </c>
      <c r="G151" s="40" t="s">
        <v>497</v>
      </c>
      <c r="H151" s="40" t="s">
        <v>687</v>
      </c>
      <c r="I151" s="48">
        <v>45721</v>
      </c>
      <c r="J151" s="48">
        <v>45729</v>
      </c>
      <c r="K151" s="9">
        <v>87</v>
      </c>
      <c r="L151" s="74" t="s">
        <v>1234</v>
      </c>
      <c r="M151" s="9">
        <v>5</v>
      </c>
      <c r="N151" s="9" t="s">
        <v>1235</v>
      </c>
      <c r="O151" s="9" t="s">
        <v>1236</v>
      </c>
      <c r="P151" s="9">
        <v>0</v>
      </c>
      <c r="Q151" s="9">
        <v>0</v>
      </c>
      <c r="R151" s="9">
        <v>0</v>
      </c>
      <c r="S151" s="9">
        <v>0</v>
      </c>
      <c r="T151" s="73" t="s">
        <v>1021</v>
      </c>
      <c r="U151" s="73">
        <v>46094</v>
      </c>
      <c r="V151" s="75">
        <v>5.5</v>
      </c>
    </row>
    <row r="152" ht="45" customHeight="1" spans="1:22">
      <c r="A152" s="40">
        <v>35</v>
      </c>
      <c r="B152" s="40" t="s">
        <v>494</v>
      </c>
      <c r="C152" s="9" t="s">
        <v>1237</v>
      </c>
      <c r="D152" s="40" t="s">
        <v>1238</v>
      </c>
      <c r="E152" s="40" t="s">
        <v>93</v>
      </c>
      <c r="F152" s="40" t="s">
        <v>830</v>
      </c>
      <c r="G152" s="40" t="s">
        <v>497</v>
      </c>
      <c r="H152" s="40" t="s">
        <v>646</v>
      </c>
      <c r="I152" s="48">
        <v>45721</v>
      </c>
      <c r="J152" s="48">
        <v>45729</v>
      </c>
      <c r="K152" s="9">
        <v>8</v>
      </c>
      <c r="L152" s="57" t="s">
        <v>941</v>
      </c>
      <c r="M152" s="9">
        <v>3</v>
      </c>
      <c r="N152" s="9" t="s">
        <v>1239</v>
      </c>
      <c r="O152" s="9">
        <v>3516</v>
      </c>
      <c r="P152" s="9">
        <v>0</v>
      </c>
      <c r="Q152" s="9">
        <v>0</v>
      </c>
      <c r="R152" s="9">
        <v>0</v>
      </c>
      <c r="S152" s="9">
        <v>0</v>
      </c>
      <c r="T152" s="73" t="s">
        <v>1021</v>
      </c>
      <c r="U152" s="73">
        <v>46094</v>
      </c>
      <c r="V152" s="75">
        <v>15.3</v>
      </c>
    </row>
    <row r="153" ht="141" customHeight="1" spans="1:22">
      <c r="A153" s="40">
        <v>36</v>
      </c>
      <c r="B153" s="40" t="s">
        <v>494</v>
      </c>
      <c r="C153" s="40" t="s">
        <v>784</v>
      </c>
      <c r="D153" s="9" t="s">
        <v>1229</v>
      </c>
      <c r="E153" s="40" t="s">
        <v>93</v>
      </c>
      <c r="F153" s="40" t="s">
        <v>98</v>
      </c>
      <c r="G153" s="40" t="s">
        <v>497</v>
      </c>
      <c r="H153" s="40" t="s">
        <v>687</v>
      </c>
      <c r="I153" s="48">
        <v>46014</v>
      </c>
      <c r="J153" s="48">
        <v>46101</v>
      </c>
      <c r="K153" s="9">
        <v>60</v>
      </c>
      <c r="L153" s="74" t="s">
        <v>1240</v>
      </c>
      <c r="M153" s="9">
        <v>1</v>
      </c>
      <c r="N153" s="9" t="s">
        <v>1241</v>
      </c>
      <c r="O153" s="9" t="s">
        <v>1242</v>
      </c>
      <c r="P153" s="9">
        <v>5</v>
      </c>
      <c r="Q153" s="9">
        <v>5</v>
      </c>
      <c r="R153" s="9">
        <v>0</v>
      </c>
      <c r="S153" s="73"/>
      <c r="T153" s="76" t="s">
        <v>1021</v>
      </c>
      <c r="U153" s="73">
        <v>46101</v>
      </c>
      <c r="V153" s="75">
        <v>201</v>
      </c>
    </row>
    <row r="154" ht="196" customHeight="1" spans="1:22">
      <c r="A154" s="40">
        <v>37</v>
      </c>
      <c r="B154" s="40" t="s">
        <v>494</v>
      </c>
      <c r="C154" s="40" t="s">
        <v>1243</v>
      </c>
      <c r="D154" s="40" t="s">
        <v>1244</v>
      </c>
      <c r="E154" s="40" t="s">
        <v>93</v>
      </c>
      <c r="F154" s="40" t="s">
        <v>98</v>
      </c>
      <c r="G154" s="40" t="s">
        <v>497</v>
      </c>
      <c r="H154" s="40" t="s">
        <v>698</v>
      </c>
      <c r="I154" s="48">
        <v>46000</v>
      </c>
      <c r="J154" s="48">
        <v>46101</v>
      </c>
      <c r="K154" s="9">
        <v>75</v>
      </c>
      <c r="L154" s="57" t="s">
        <v>1245</v>
      </c>
      <c r="M154" s="9">
        <v>11</v>
      </c>
      <c r="N154" s="39" t="s">
        <v>1246</v>
      </c>
      <c r="O154" s="9" t="s">
        <v>1247</v>
      </c>
      <c r="P154" s="9">
        <v>7</v>
      </c>
      <c r="Q154" s="9">
        <v>7</v>
      </c>
      <c r="R154" s="9"/>
      <c r="S154" s="9"/>
      <c r="T154" s="76" t="s">
        <v>1021</v>
      </c>
      <c r="U154" s="73">
        <v>46101</v>
      </c>
      <c r="V154" s="75">
        <v>27</v>
      </c>
    </row>
    <row r="155" ht="87" customHeight="1" spans="1:22">
      <c r="A155" s="40">
        <v>38</v>
      </c>
      <c r="B155" s="40" t="s">
        <v>494</v>
      </c>
      <c r="C155" s="40" t="s">
        <v>1248</v>
      </c>
      <c r="D155" s="9" t="s">
        <v>1249</v>
      </c>
      <c r="E155" s="40" t="s">
        <v>701</v>
      </c>
      <c r="F155" s="40" t="s">
        <v>890</v>
      </c>
      <c r="G155" s="40" t="s">
        <v>497</v>
      </c>
      <c r="H155" s="40" t="s">
        <v>687</v>
      </c>
      <c r="I155" s="48">
        <v>46101</v>
      </c>
      <c r="J155" s="48">
        <v>46115</v>
      </c>
      <c r="K155" s="9">
        <v>12</v>
      </c>
      <c r="L155" s="57" t="s">
        <v>1250</v>
      </c>
      <c r="M155" s="9">
        <v>2</v>
      </c>
      <c r="N155" s="9" t="s">
        <v>1251</v>
      </c>
      <c r="O155" s="9" t="s">
        <v>1252</v>
      </c>
      <c r="P155" s="9">
        <v>1</v>
      </c>
      <c r="Q155" s="9">
        <v>1</v>
      </c>
      <c r="R155" s="9">
        <v>0</v>
      </c>
      <c r="S155" s="9"/>
      <c r="T155" s="76" t="s">
        <v>1021</v>
      </c>
      <c r="U155" s="73">
        <v>46115</v>
      </c>
      <c r="V155" s="77">
        <v>15</v>
      </c>
    </row>
    <row r="156" ht="65" customHeight="1" spans="1:22">
      <c r="A156" s="40">
        <v>39</v>
      </c>
      <c r="B156" s="40" t="s">
        <v>494</v>
      </c>
      <c r="C156" s="40" t="s">
        <v>1253</v>
      </c>
      <c r="D156" s="9" t="s">
        <v>1254</v>
      </c>
      <c r="E156" s="40" t="s">
        <v>701</v>
      </c>
      <c r="F156" s="40" t="s">
        <v>890</v>
      </c>
      <c r="G156" s="40" t="s">
        <v>497</v>
      </c>
      <c r="H156" s="40" t="s">
        <v>698</v>
      </c>
      <c r="I156" s="48">
        <v>46104</v>
      </c>
      <c r="J156" s="48">
        <v>46115</v>
      </c>
      <c r="K156" s="9">
        <v>10</v>
      </c>
      <c r="L156" s="57" t="s">
        <v>1255</v>
      </c>
      <c r="M156" s="9">
        <v>1</v>
      </c>
      <c r="N156" s="9" t="s">
        <v>1256</v>
      </c>
      <c r="O156" s="9">
        <v>2196</v>
      </c>
      <c r="P156" s="9">
        <v>0</v>
      </c>
      <c r="Q156" s="9">
        <v>0</v>
      </c>
      <c r="R156" s="9">
        <v>0</v>
      </c>
      <c r="S156" s="9"/>
      <c r="T156" s="76" t="s">
        <v>1021</v>
      </c>
      <c r="U156" s="73">
        <v>46115</v>
      </c>
      <c r="V156" s="77">
        <v>19</v>
      </c>
    </row>
    <row r="157" ht="45" customHeight="1" spans="1:22">
      <c r="A157" s="40">
        <v>40</v>
      </c>
      <c r="B157" s="40" t="s">
        <v>494</v>
      </c>
      <c r="C157" s="40" t="s">
        <v>1257</v>
      </c>
      <c r="D157" s="9" t="s">
        <v>1258</v>
      </c>
      <c r="E157" s="40" t="s">
        <v>93</v>
      </c>
      <c r="F157" s="40" t="s">
        <v>830</v>
      </c>
      <c r="G157" s="40" t="s">
        <v>497</v>
      </c>
      <c r="H157" s="40" t="s">
        <v>651</v>
      </c>
      <c r="I157" s="48">
        <v>46099</v>
      </c>
      <c r="J157" s="48">
        <v>46115</v>
      </c>
      <c r="K157" s="9">
        <v>14</v>
      </c>
      <c r="L157" s="57" t="s">
        <v>1259</v>
      </c>
      <c r="M157" s="9">
        <v>1</v>
      </c>
      <c r="N157" s="9" t="s">
        <v>1260</v>
      </c>
      <c r="O157" s="9">
        <v>10940</v>
      </c>
      <c r="P157" s="9">
        <v>3</v>
      </c>
      <c r="Q157" s="9">
        <v>3</v>
      </c>
      <c r="R157" s="9">
        <v>0</v>
      </c>
      <c r="S157" s="9"/>
      <c r="T157" s="76" t="s">
        <v>1021</v>
      </c>
      <c r="U157" s="73">
        <v>46115</v>
      </c>
      <c r="V157" s="77">
        <v>20</v>
      </c>
    </row>
    <row r="158" ht="65" customHeight="1" spans="1:22">
      <c r="A158" s="40">
        <v>41</v>
      </c>
      <c r="B158" s="40" t="s">
        <v>494</v>
      </c>
      <c r="C158" s="40" t="s">
        <v>1253</v>
      </c>
      <c r="D158" s="9" t="s">
        <v>1254</v>
      </c>
      <c r="E158" s="40" t="s">
        <v>701</v>
      </c>
      <c r="F158" s="40" t="s">
        <v>890</v>
      </c>
      <c r="G158" s="40" t="s">
        <v>497</v>
      </c>
      <c r="H158" s="40" t="s">
        <v>698</v>
      </c>
      <c r="I158" s="48">
        <v>46104</v>
      </c>
      <c r="J158" s="48">
        <v>46122</v>
      </c>
      <c r="K158" s="9">
        <v>14</v>
      </c>
      <c r="L158" s="57" t="s">
        <v>1255</v>
      </c>
      <c r="M158" s="9">
        <v>1</v>
      </c>
      <c r="N158" s="9" t="s">
        <v>1261</v>
      </c>
      <c r="O158" s="9">
        <v>3358</v>
      </c>
      <c r="P158" s="9">
        <v>3</v>
      </c>
      <c r="Q158" s="9">
        <v>3</v>
      </c>
      <c r="R158" s="9">
        <v>0</v>
      </c>
      <c r="S158" s="9"/>
      <c r="T158" s="76" t="s">
        <v>1021</v>
      </c>
      <c r="U158" s="73">
        <v>46122</v>
      </c>
      <c r="V158" s="77">
        <v>19</v>
      </c>
    </row>
    <row r="159" ht="45" customHeight="1" spans="1:22">
      <c r="A159" s="40">
        <v>40</v>
      </c>
      <c r="B159" s="40" t="s">
        <v>494</v>
      </c>
      <c r="C159" s="40" t="s">
        <v>1257</v>
      </c>
      <c r="D159" s="9" t="s">
        <v>1258</v>
      </c>
      <c r="E159" s="40" t="s">
        <v>93</v>
      </c>
      <c r="F159" s="40" t="s">
        <v>830</v>
      </c>
      <c r="G159" s="40" t="s">
        <v>497</v>
      </c>
      <c r="H159" s="40" t="s">
        <v>651</v>
      </c>
      <c r="I159" s="48">
        <v>46099</v>
      </c>
      <c r="J159" s="48">
        <v>46125</v>
      </c>
      <c r="K159" s="9">
        <v>24</v>
      </c>
      <c r="L159" s="57" t="s">
        <v>1259</v>
      </c>
      <c r="M159" s="9">
        <v>1</v>
      </c>
      <c r="N159" s="9" t="s">
        <v>1262</v>
      </c>
      <c r="O159" s="9">
        <v>15700</v>
      </c>
      <c r="P159" s="9">
        <v>3</v>
      </c>
      <c r="Q159" s="9">
        <v>3</v>
      </c>
      <c r="R159" s="9">
        <v>0</v>
      </c>
      <c r="S159" s="9"/>
      <c r="T159" s="76" t="s">
        <v>1021</v>
      </c>
      <c r="U159" s="73">
        <v>46125</v>
      </c>
      <c r="V159" s="77">
        <v>20</v>
      </c>
    </row>
    <row r="160" ht="91" customHeight="1" spans="1:22">
      <c r="A160" s="40">
        <v>41</v>
      </c>
      <c r="B160" s="40" t="s">
        <v>494</v>
      </c>
      <c r="C160" s="40" t="s">
        <v>1263</v>
      </c>
      <c r="D160" s="40" t="s">
        <v>1264</v>
      </c>
      <c r="E160" s="40" t="s">
        <v>311</v>
      </c>
      <c r="F160" s="40" t="s">
        <v>830</v>
      </c>
      <c r="G160" s="40" t="s">
        <v>497</v>
      </c>
      <c r="H160" s="40" t="s">
        <v>687</v>
      </c>
      <c r="I160" s="48">
        <v>46132</v>
      </c>
      <c r="J160" s="48">
        <v>46136</v>
      </c>
      <c r="K160" s="9">
        <v>5</v>
      </c>
      <c r="L160" s="57" t="s">
        <v>1265</v>
      </c>
      <c r="M160" s="9">
        <v>1</v>
      </c>
      <c r="N160" s="9">
        <v>20260324001</v>
      </c>
      <c r="O160" s="9">
        <v>9672</v>
      </c>
      <c r="P160" s="9">
        <v>2</v>
      </c>
      <c r="Q160" s="9">
        <v>0</v>
      </c>
      <c r="R160" s="9">
        <v>2</v>
      </c>
      <c r="S160" s="9"/>
      <c r="T160" s="76" t="s">
        <v>1021</v>
      </c>
      <c r="U160" s="73">
        <v>46136</v>
      </c>
      <c r="V160" s="40"/>
    </row>
    <row r="161" customHeight="1" spans="1:22">
      <c r="A161" s="40">
        <v>42</v>
      </c>
      <c r="B161" s="40"/>
      <c r="C161" s="40"/>
      <c r="D161" s="40"/>
      <c r="E161" s="40"/>
      <c r="F161" s="40"/>
      <c r="G161" s="40"/>
      <c r="H161" s="40"/>
      <c r="I161" s="40"/>
      <c r="J161" s="40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40"/>
      <c r="V161" s="40"/>
    </row>
    <row r="162" customHeight="1" spans="1:22">
      <c r="A162" s="40">
        <v>43</v>
      </c>
      <c r="B162" s="40"/>
      <c r="C162" s="40"/>
      <c r="D162" s="40"/>
      <c r="E162" s="40"/>
      <c r="F162" s="40"/>
      <c r="G162" s="40"/>
      <c r="H162" s="40"/>
      <c r="I162" s="40"/>
      <c r="J162" s="40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40"/>
      <c r="V162" s="40"/>
    </row>
    <row r="163" customHeight="1" spans="1:22">
      <c r="A163" s="40">
        <v>44</v>
      </c>
      <c r="B163" s="40"/>
      <c r="C163" s="40"/>
      <c r="D163" s="40"/>
      <c r="E163" s="40"/>
      <c r="F163" s="40"/>
      <c r="G163" s="40"/>
      <c r="H163" s="40"/>
      <c r="I163" s="40"/>
      <c r="J163" s="40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40"/>
      <c r="V163" s="40"/>
    </row>
    <row r="164" customHeight="1" spans="1:22">
      <c r="A164" s="40">
        <v>45</v>
      </c>
      <c r="B164" s="40"/>
      <c r="C164" s="40"/>
      <c r="D164" s="40"/>
      <c r="E164" s="40"/>
      <c r="F164" s="40"/>
      <c r="G164" s="40"/>
      <c r="H164" s="40"/>
      <c r="I164" s="40"/>
      <c r="J164" s="40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40"/>
      <c r="V164" s="40"/>
    </row>
    <row r="165" customHeight="1" spans="1:22">
      <c r="A165" s="40">
        <v>46</v>
      </c>
      <c r="B165" s="40"/>
      <c r="C165" s="40"/>
      <c r="D165" s="40"/>
      <c r="E165" s="40"/>
      <c r="F165" s="40"/>
      <c r="G165" s="40"/>
      <c r="H165" s="40"/>
      <c r="I165" s="40"/>
      <c r="J165" s="40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40"/>
      <c r="V165" s="40"/>
    </row>
  </sheetData>
  <autoFilter xmlns:etc="http://www.wps.cn/officeDocument/2017/etCustomData" ref="A2:AW165" etc:filterBottomFollowUsedRange="0">
    <extLst/>
  </autoFilter>
  <mergeCells count="348">
    <mergeCell ref="A1:V1"/>
    <mergeCell ref="A6:A10"/>
    <mergeCell ref="A11:A15"/>
    <mergeCell ref="A16:A24"/>
    <mergeCell ref="A25:A29"/>
    <mergeCell ref="A30:A39"/>
    <mergeCell ref="A40:A44"/>
    <mergeCell ref="A45:A46"/>
    <mergeCell ref="A47:A54"/>
    <mergeCell ref="A55:A59"/>
    <mergeCell ref="A60:A61"/>
    <mergeCell ref="A62:A64"/>
    <mergeCell ref="A65:A67"/>
    <mergeCell ref="A68:A72"/>
    <mergeCell ref="A73:A80"/>
    <mergeCell ref="A81:A85"/>
    <mergeCell ref="A86:A93"/>
    <mergeCell ref="A94:A97"/>
    <mergeCell ref="A98:A103"/>
    <mergeCell ref="A104:A105"/>
    <mergeCell ref="A106:A114"/>
    <mergeCell ref="A116:A117"/>
    <mergeCell ref="A119:A123"/>
    <mergeCell ref="A124:A125"/>
    <mergeCell ref="A126:A133"/>
    <mergeCell ref="A135:A139"/>
    <mergeCell ref="A140:A144"/>
    <mergeCell ref="A145:A146"/>
    <mergeCell ref="A147:A148"/>
    <mergeCell ref="B6:B10"/>
    <mergeCell ref="B11:B15"/>
    <mergeCell ref="B16:B24"/>
    <mergeCell ref="B25:B29"/>
    <mergeCell ref="B30:B39"/>
    <mergeCell ref="B40:B44"/>
    <mergeCell ref="B45:B46"/>
    <mergeCell ref="B47:B54"/>
    <mergeCell ref="B55:B59"/>
    <mergeCell ref="B60:B61"/>
    <mergeCell ref="B62:B64"/>
    <mergeCell ref="B65:B67"/>
    <mergeCell ref="B68:B72"/>
    <mergeCell ref="B73:B80"/>
    <mergeCell ref="B81:B85"/>
    <mergeCell ref="B86:B93"/>
    <mergeCell ref="B94:B97"/>
    <mergeCell ref="B98:B103"/>
    <mergeCell ref="B104:B105"/>
    <mergeCell ref="B106:B114"/>
    <mergeCell ref="B116:B117"/>
    <mergeCell ref="B119:B123"/>
    <mergeCell ref="B124:B125"/>
    <mergeCell ref="B126:B133"/>
    <mergeCell ref="B135:B139"/>
    <mergeCell ref="B140:B144"/>
    <mergeCell ref="B145:B146"/>
    <mergeCell ref="B147:B148"/>
    <mergeCell ref="C6:C10"/>
    <mergeCell ref="C11:C15"/>
    <mergeCell ref="C16:C24"/>
    <mergeCell ref="C25:C29"/>
    <mergeCell ref="C30:C39"/>
    <mergeCell ref="C40:C44"/>
    <mergeCell ref="C45:C46"/>
    <mergeCell ref="C47:C54"/>
    <mergeCell ref="C55:C59"/>
    <mergeCell ref="C60:C61"/>
    <mergeCell ref="C62:C64"/>
    <mergeCell ref="C65:C67"/>
    <mergeCell ref="C68:C72"/>
    <mergeCell ref="C73:C80"/>
    <mergeCell ref="C81:C85"/>
    <mergeCell ref="C86:C93"/>
    <mergeCell ref="C94:C97"/>
    <mergeCell ref="C98:C103"/>
    <mergeCell ref="C104:C105"/>
    <mergeCell ref="C106:C115"/>
    <mergeCell ref="C116:C117"/>
    <mergeCell ref="C119:C123"/>
    <mergeCell ref="C124:C125"/>
    <mergeCell ref="C126:C133"/>
    <mergeCell ref="C135:C139"/>
    <mergeCell ref="C140:C143"/>
    <mergeCell ref="C147:C148"/>
    <mergeCell ref="D6:D10"/>
    <mergeCell ref="D11:D15"/>
    <mergeCell ref="D16:D24"/>
    <mergeCell ref="D25:D29"/>
    <mergeCell ref="D30:D39"/>
    <mergeCell ref="D40:D44"/>
    <mergeCell ref="D45:D46"/>
    <mergeCell ref="D47:D54"/>
    <mergeCell ref="D55:D59"/>
    <mergeCell ref="D60:D61"/>
    <mergeCell ref="D62:D64"/>
    <mergeCell ref="D65:D67"/>
    <mergeCell ref="D68:D72"/>
    <mergeCell ref="D73:D80"/>
    <mergeCell ref="D81:D85"/>
    <mergeCell ref="D86:D93"/>
    <mergeCell ref="D94:D97"/>
    <mergeCell ref="D98:D103"/>
    <mergeCell ref="D104:D105"/>
    <mergeCell ref="D106:D115"/>
    <mergeCell ref="D116:D117"/>
    <mergeCell ref="D119:D123"/>
    <mergeCell ref="D124:D125"/>
    <mergeCell ref="D126:D133"/>
    <mergeCell ref="D135:D139"/>
    <mergeCell ref="D140:D143"/>
    <mergeCell ref="D147:D148"/>
    <mergeCell ref="E6:E10"/>
    <mergeCell ref="E11:E15"/>
    <mergeCell ref="E16:E24"/>
    <mergeCell ref="E25:E29"/>
    <mergeCell ref="E30:E39"/>
    <mergeCell ref="E40:E44"/>
    <mergeCell ref="E45:E46"/>
    <mergeCell ref="E47:E54"/>
    <mergeCell ref="E55:E59"/>
    <mergeCell ref="E60:E61"/>
    <mergeCell ref="E62:E64"/>
    <mergeCell ref="E65:E67"/>
    <mergeCell ref="E68:E72"/>
    <mergeCell ref="E73:E80"/>
    <mergeCell ref="E81:E85"/>
    <mergeCell ref="E86:E93"/>
    <mergeCell ref="E94:E97"/>
    <mergeCell ref="E98:E103"/>
    <mergeCell ref="E104:E105"/>
    <mergeCell ref="E106:E109"/>
    <mergeCell ref="E110:E114"/>
    <mergeCell ref="E116:E117"/>
    <mergeCell ref="E119:E123"/>
    <mergeCell ref="E124:E125"/>
    <mergeCell ref="E126:E133"/>
    <mergeCell ref="E135:E139"/>
    <mergeCell ref="E140:E144"/>
    <mergeCell ref="E145:E146"/>
    <mergeCell ref="E147:E148"/>
    <mergeCell ref="F6:F10"/>
    <mergeCell ref="F11:F15"/>
    <mergeCell ref="F16:F24"/>
    <mergeCell ref="F25:F29"/>
    <mergeCell ref="F30:F39"/>
    <mergeCell ref="F40:F44"/>
    <mergeCell ref="F45:F46"/>
    <mergeCell ref="F47:F54"/>
    <mergeCell ref="F55:F59"/>
    <mergeCell ref="F60:F61"/>
    <mergeCell ref="F62:F64"/>
    <mergeCell ref="F65:F67"/>
    <mergeCell ref="F68:F72"/>
    <mergeCell ref="F73:F80"/>
    <mergeCell ref="F81:F85"/>
    <mergeCell ref="F86:F93"/>
    <mergeCell ref="F94:F97"/>
    <mergeCell ref="F98:F103"/>
    <mergeCell ref="F104:F105"/>
    <mergeCell ref="F106:F109"/>
    <mergeCell ref="F110:F114"/>
    <mergeCell ref="F116:F117"/>
    <mergeCell ref="F119:F123"/>
    <mergeCell ref="F124:F125"/>
    <mergeCell ref="F126:F133"/>
    <mergeCell ref="F135:F139"/>
    <mergeCell ref="F140:F144"/>
    <mergeCell ref="F145:F146"/>
    <mergeCell ref="F147:F148"/>
    <mergeCell ref="G6:G10"/>
    <mergeCell ref="G11:G15"/>
    <mergeCell ref="G16:G24"/>
    <mergeCell ref="G25:G29"/>
    <mergeCell ref="G30:G39"/>
    <mergeCell ref="G40:G44"/>
    <mergeCell ref="G45:G46"/>
    <mergeCell ref="G47:G54"/>
    <mergeCell ref="G55:G59"/>
    <mergeCell ref="G60:G61"/>
    <mergeCell ref="G62:G64"/>
    <mergeCell ref="G65:G67"/>
    <mergeCell ref="G68:G72"/>
    <mergeCell ref="G73:G80"/>
    <mergeCell ref="G81:G85"/>
    <mergeCell ref="G86:G93"/>
    <mergeCell ref="G94:G97"/>
    <mergeCell ref="G98:G103"/>
    <mergeCell ref="G104:G105"/>
    <mergeCell ref="G106:G109"/>
    <mergeCell ref="G110:G114"/>
    <mergeCell ref="G116:G117"/>
    <mergeCell ref="G119:G123"/>
    <mergeCell ref="G124:G125"/>
    <mergeCell ref="G126:G133"/>
    <mergeCell ref="G135:G139"/>
    <mergeCell ref="G140:G144"/>
    <mergeCell ref="G145:G146"/>
    <mergeCell ref="G147:G148"/>
    <mergeCell ref="H6:H10"/>
    <mergeCell ref="H11:H15"/>
    <mergeCell ref="H16:H24"/>
    <mergeCell ref="H25:H29"/>
    <mergeCell ref="H30:H39"/>
    <mergeCell ref="H40:H44"/>
    <mergeCell ref="H45:H46"/>
    <mergeCell ref="H47:H54"/>
    <mergeCell ref="H55:H59"/>
    <mergeCell ref="H60:H61"/>
    <mergeCell ref="H62:H64"/>
    <mergeCell ref="H65:H67"/>
    <mergeCell ref="H68:H72"/>
    <mergeCell ref="H73:H80"/>
    <mergeCell ref="H81:H85"/>
    <mergeCell ref="H87:H90"/>
    <mergeCell ref="H98:H103"/>
    <mergeCell ref="H106:H109"/>
    <mergeCell ref="H110:H114"/>
    <mergeCell ref="H116:H117"/>
    <mergeCell ref="H119:H123"/>
    <mergeCell ref="H124:H125"/>
    <mergeCell ref="H126:H129"/>
    <mergeCell ref="H130:H133"/>
    <mergeCell ref="H135:H139"/>
    <mergeCell ref="H140:H143"/>
    <mergeCell ref="H145:H146"/>
    <mergeCell ref="H147:H148"/>
    <mergeCell ref="I6:I10"/>
    <mergeCell ref="I11:I15"/>
    <mergeCell ref="I16:I24"/>
    <mergeCell ref="I25:I29"/>
    <mergeCell ref="I30:I39"/>
    <mergeCell ref="I40:I44"/>
    <mergeCell ref="I45:I46"/>
    <mergeCell ref="I47:I54"/>
    <mergeCell ref="I65:I67"/>
    <mergeCell ref="I68:I72"/>
    <mergeCell ref="I73:I80"/>
    <mergeCell ref="I81:I85"/>
    <mergeCell ref="I87:I90"/>
    <mergeCell ref="I106:I109"/>
    <mergeCell ref="I110:I114"/>
    <mergeCell ref="I116:I117"/>
    <mergeCell ref="I119:I123"/>
    <mergeCell ref="I124:I125"/>
    <mergeCell ref="I126:I133"/>
    <mergeCell ref="I135:I139"/>
    <mergeCell ref="I140:I144"/>
    <mergeCell ref="I145:I146"/>
    <mergeCell ref="I147:I148"/>
    <mergeCell ref="J6:J10"/>
    <mergeCell ref="J11:J15"/>
    <mergeCell ref="J16:J24"/>
    <mergeCell ref="J25:J29"/>
    <mergeCell ref="J30:J39"/>
    <mergeCell ref="J40:J44"/>
    <mergeCell ref="J45:J46"/>
    <mergeCell ref="J47:J54"/>
    <mergeCell ref="J65:J67"/>
    <mergeCell ref="J68:J72"/>
    <mergeCell ref="J73:J80"/>
    <mergeCell ref="J81:J85"/>
    <mergeCell ref="J87:J90"/>
    <mergeCell ref="J106:J109"/>
    <mergeCell ref="J110:J114"/>
    <mergeCell ref="J116:J117"/>
    <mergeCell ref="J119:J123"/>
    <mergeCell ref="J124:J125"/>
    <mergeCell ref="J126:J133"/>
    <mergeCell ref="J135:J139"/>
    <mergeCell ref="J140:J144"/>
    <mergeCell ref="J145:J146"/>
    <mergeCell ref="J147:J148"/>
    <mergeCell ref="K6:K10"/>
    <mergeCell ref="K11:K15"/>
    <mergeCell ref="K16:K24"/>
    <mergeCell ref="K25:K29"/>
    <mergeCell ref="K30:K39"/>
    <mergeCell ref="K40:K44"/>
    <mergeCell ref="K45:K46"/>
    <mergeCell ref="K47:K54"/>
    <mergeCell ref="K65:K67"/>
    <mergeCell ref="K68:K72"/>
    <mergeCell ref="K73:K80"/>
    <mergeCell ref="K81:K85"/>
    <mergeCell ref="K87:K90"/>
    <mergeCell ref="K106:K109"/>
    <mergeCell ref="K110:K114"/>
    <mergeCell ref="K116:K117"/>
    <mergeCell ref="K119:K123"/>
    <mergeCell ref="K124:K125"/>
    <mergeCell ref="K126:K133"/>
    <mergeCell ref="K135:K139"/>
    <mergeCell ref="K140:K144"/>
    <mergeCell ref="K145:K146"/>
    <mergeCell ref="K147:K148"/>
    <mergeCell ref="L6:L10"/>
    <mergeCell ref="L11:L15"/>
    <mergeCell ref="L16:L24"/>
    <mergeCell ref="L25:L29"/>
    <mergeCell ref="L30:L39"/>
    <mergeCell ref="L40:L44"/>
    <mergeCell ref="L45:L46"/>
    <mergeCell ref="L47:L54"/>
    <mergeCell ref="L106:L109"/>
    <mergeCell ref="L110:L114"/>
    <mergeCell ref="L116:L117"/>
    <mergeCell ref="L119:L123"/>
    <mergeCell ref="L124:L125"/>
    <mergeCell ref="L126:L133"/>
    <mergeCell ref="L135:L139"/>
    <mergeCell ref="L140:L143"/>
    <mergeCell ref="L147:L148"/>
    <mergeCell ref="O126:O133"/>
    <mergeCell ref="P106:P109"/>
    <mergeCell ref="P110:P114"/>
    <mergeCell ref="P116:P117"/>
    <mergeCell ref="P119:P123"/>
    <mergeCell ref="P126:P133"/>
    <mergeCell ref="P135:P139"/>
    <mergeCell ref="P140:P144"/>
    <mergeCell ref="Q106:Q109"/>
    <mergeCell ref="Q110:Q114"/>
    <mergeCell ref="Q116:Q117"/>
    <mergeCell ref="Q119:Q123"/>
    <mergeCell ref="Q126:Q133"/>
    <mergeCell ref="Q135:Q139"/>
    <mergeCell ref="Q140:Q144"/>
    <mergeCell ref="R106:R109"/>
    <mergeCell ref="R110:R114"/>
    <mergeCell ref="R116:R117"/>
    <mergeCell ref="R119:R123"/>
    <mergeCell ref="R126:R133"/>
    <mergeCell ref="R135:R139"/>
    <mergeCell ref="R140:R144"/>
    <mergeCell ref="S119:S123"/>
    <mergeCell ref="S126:S133"/>
    <mergeCell ref="S135:S139"/>
    <mergeCell ref="S140:S144"/>
    <mergeCell ref="T119:T123"/>
    <mergeCell ref="T126:T133"/>
    <mergeCell ref="T135:T139"/>
    <mergeCell ref="T140:T144"/>
    <mergeCell ref="T147:T148"/>
    <mergeCell ref="U119:U123"/>
    <mergeCell ref="U126:U133"/>
    <mergeCell ref="U135:U139"/>
    <mergeCell ref="U140:U144"/>
    <mergeCell ref="U147:U14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深圳</vt:lpstr>
      <vt:lpstr>深圳测试数据统计</vt:lpstr>
      <vt:lpstr>研发模块</vt:lpstr>
      <vt:lpstr>生产模块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linxueping</dc:creator>
  <cp:lastModifiedBy>CLF</cp:lastModifiedBy>
  <dcterms:created xsi:type="dcterms:W3CDTF">2024-12-05T17:04:00Z</dcterms:created>
  <dcterms:modified xsi:type="dcterms:W3CDTF">2026-04-30T07:46:17Z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CC261C793B074A6FA327DAD702486ACD_13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